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\Innovative Education Services And Solutions\Gestion de mercados y productos turisticos\Componentes\CF04_Caracterización del entorno turístico\Anexos\"/>
    </mc:Choice>
  </mc:AlternateContent>
  <bookViews>
    <workbookView xWindow="0" yWindow="0" windowWidth="20490" windowHeight="10725" firstSheet="2" activeTab="2"/>
  </bookViews>
  <sheets>
    <sheet name="MENÚ" sheetId="1" state="hidden" r:id="rId1"/>
    <sheet name="CONSOLIDADO" sheetId="7" state="hidden" r:id="rId2"/>
    <sheet name="DIAGNOSTICO" sheetId="2" r:id="rId3"/>
    <sheet name="OBSERVACIONES" sheetId="10" state="hidden" r:id="rId4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8" i="10" l="1"/>
  <c r="B35" i="10"/>
  <c r="B32" i="10"/>
  <c r="B29" i="10"/>
  <c r="B26" i="10"/>
  <c r="B23" i="10"/>
  <c r="B20" i="10"/>
  <c r="B17" i="10"/>
  <c r="B14" i="10"/>
  <c r="I21" i="2" l="1"/>
  <c r="M5" i="7" s="1"/>
  <c r="I69" i="2"/>
  <c r="M9" i="7" s="1"/>
  <c r="H69" i="2"/>
  <c r="J9" i="7" s="1"/>
  <c r="K9" i="7" s="1"/>
  <c r="L9" i="7" s="1"/>
  <c r="I57" i="2"/>
  <c r="M8" i="7" s="1"/>
  <c r="H57" i="2"/>
  <c r="J8" i="7" s="1"/>
  <c r="K8" i="7" s="1"/>
  <c r="L8" i="7" s="1"/>
  <c r="I45" i="2"/>
  <c r="M7" i="7" s="1"/>
  <c r="H45" i="2"/>
  <c r="J7" i="7" s="1"/>
  <c r="K7" i="7" s="1"/>
  <c r="L7" i="7" s="1"/>
  <c r="M6" i="7"/>
  <c r="J6" i="7"/>
  <c r="K6" i="7" s="1"/>
  <c r="L6" i="7" s="1"/>
  <c r="H21" i="2"/>
  <c r="J5" i="7" s="1"/>
  <c r="K5" i="7" s="1"/>
  <c r="L5" i="7" s="1"/>
  <c r="I9" i="7"/>
  <c r="I8" i="7"/>
  <c r="I7" i="7"/>
  <c r="I6" i="7"/>
  <c r="I5" i="7"/>
  <c r="J69" i="2" l="1"/>
  <c r="J68" i="2"/>
  <c r="J67" i="2"/>
  <c r="J66" i="2"/>
  <c r="J65" i="2"/>
  <c r="J64" i="2"/>
  <c r="J63" i="2"/>
  <c r="J62" i="2"/>
  <c r="J61" i="2"/>
  <c r="J57" i="2"/>
  <c r="J56" i="2"/>
  <c r="J55" i="2"/>
  <c r="J54" i="2"/>
  <c r="J53" i="2"/>
  <c r="J52" i="2"/>
  <c r="J51" i="2"/>
  <c r="J50" i="2"/>
  <c r="J49" i="2"/>
  <c r="J45" i="2"/>
  <c r="J44" i="2"/>
  <c r="J43" i="2"/>
  <c r="J42" i="2"/>
  <c r="J41" i="2"/>
  <c r="J40" i="2"/>
  <c r="J39" i="2"/>
  <c r="J35" i="2"/>
  <c r="J33" i="2"/>
  <c r="J34" i="2"/>
  <c r="J26" i="2"/>
  <c r="J27" i="2"/>
  <c r="J28" i="2"/>
  <c r="J29" i="2"/>
  <c r="J30" i="2"/>
  <c r="J31" i="2"/>
  <c r="J32" i="2"/>
  <c r="J25" i="2"/>
  <c r="J21" i="2" l="1"/>
  <c r="J20" i="2"/>
  <c r="J19" i="2"/>
  <c r="J18" i="2"/>
  <c r="J17" i="2"/>
  <c r="J16" i="2"/>
  <c r="J15" i="2"/>
  <c r="L48" i="10" l="1"/>
  <c r="M48" i="10"/>
  <c r="I48" i="10"/>
  <c r="K48" i="10"/>
</calcChain>
</file>

<file path=xl/comments1.xml><?xml version="1.0" encoding="utf-8"?>
<comments xmlns="http://schemas.openxmlformats.org/spreadsheetml/2006/main">
  <authors>
    <author>LenovoContaccenter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LOGO DE LA EMPRESA</t>
        </r>
      </text>
    </comment>
  </commentList>
</comments>
</file>

<file path=xl/comments2.xml><?xml version="1.0" encoding="utf-8"?>
<comments xmlns="http://schemas.openxmlformats.org/spreadsheetml/2006/main">
  <authors>
    <author>Aprendiz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Aprendiz: aquí Poner el logo de la empresa.</t>
        </r>
      </text>
    </comment>
  </commentList>
</comments>
</file>

<file path=xl/sharedStrings.xml><?xml version="1.0" encoding="utf-8"?>
<sst xmlns="http://schemas.openxmlformats.org/spreadsheetml/2006/main" count="191" uniqueCount="155">
  <si>
    <t>Evaluación</t>
  </si>
  <si>
    <t>Criterio Evaluación</t>
  </si>
  <si>
    <t>No.</t>
  </si>
  <si>
    <t xml:space="preserve">Ninguno </t>
  </si>
  <si>
    <t xml:space="preserve">Poco </t>
  </si>
  <si>
    <t>Moderado</t>
  </si>
  <si>
    <t xml:space="preserve">Alto </t>
  </si>
  <si>
    <t>Muy Alto</t>
  </si>
  <si>
    <t>EVALUACIÓN</t>
  </si>
  <si>
    <t>ESFUERZO</t>
  </si>
  <si>
    <t>IR AL MENÚ</t>
  </si>
  <si>
    <t>IR AL DIAGNÓSTICO</t>
  </si>
  <si>
    <t>PUNTACIÓN MÁXIMA APLICADA</t>
  </si>
  <si>
    <t>PUNTUACIÓN OBTENIDA</t>
  </si>
  <si>
    <t>FORTALEZA</t>
  </si>
  <si>
    <t>DEBILIDAD</t>
  </si>
  <si>
    <t>REGIONAL ANTIQUIA</t>
  </si>
  <si>
    <t>CENTRO DE COMERCIO</t>
  </si>
  <si>
    <t>INTEGRANTES</t>
  </si>
  <si>
    <t>INTEGRANTE 1</t>
  </si>
  <si>
    <t>INTEGRANTE 2</t>
  </si>
  <si>
    <t>INTEGRANTE 3</t>
  </si>
  <si>
    <t>INTEGRANTE 4</t>
  </si>
  <si>
    <t>INTEGRANTE 5</t>
  </si>
  <si>
    <t>ESCRIBA AQUÍ EL NOMBRE DE LA EMPRESA</t>
  </si>
  <si>
    <t>NÚMERO DE LA FICHA</t>
  </si>
  <si>
    <t>MEDELLÍN</t>
  </si>
  <si>
    <t>NOMBRE DEL SERVICIO</t>
  </si>
  <si>
    <t>DESCRIPCIÓN</t>
  </si>
  <si>
    <t>LOGO DE LA EMPRESA</t>
  </si>
  <si>
    <t xml:space="preserve">   CONSOLIDADO DEL DIAGNÓSTICO</t>
  </si>
  <si>
    <t>AREA</t>
  </si>
  <si>
    <t>OBSERVACIONES</t>
  </si>
  <si>
    <t>FACTOR CRITICO</t>
  </si>
  <si>
    <t>PRIORIDAD</t>
  </si>
  <si>
    <t>CORTO PLAZO</t>
  </si>
  <si>
    <t>MEDIANO PLAZO</t>
  </si>
  <si>
    <t>PUEDE ESPERAR</t>
  </si>
  <si>
    <t>TIEMPO</t>
  </si>
  <si>
    <t>Debilidad que requiere acción inmediata</t>
  </si>
  <si>
    <t>Debilidad que requiere acción moderada</t>
  </si>
  <si>
    <t>MEDIA</t>
  </si>
  <si>
    <t>BAJA</t>
  </si>
  <si>
    <t>ALTA</t>
  </si>
  <si>
    <t>Aspecto</t>
  </si>
  <si>
    <t>Descripción</t>
  </si>
  <si>
    <t>Estado</t>
  </si>
  <si>
    <t>Puntaje total</t>
  </si>
  <si>
    <t>Equivalencia</t>
  </si>
  <si>
    <t>0% - 20%</t>
  </si>
  <si>
    <t>21% - 40%</t>
  </si>
  <si>
    <t>41% - 60%</t>
  </si>
  <si>
    <t>61% - 80%</t>
  </si>
  <si>
    <t>81% - 100%</t>
  </si>
  <si>
    <t>Mejora continua</t>
  </si>
  <si>
    <t>Liderazgo</t>
  </si>
  <si>
    <t>Indicadores</t>
  </si>
  <si>
    <t>Procesos</t>
  </si>
  <si>
    <t>La empresa hace hincapié en un horizonte de planeación a largo, mediano  o corto plazo.</t>
  </si>
  <si>
    <t>La dirección de la organización se asegura de que se emprendan acciones de mejora continua dentro de sus procesos y /o actividades</t>
  </si>
  <si>
    <t>La alta dirección asume el liderazgo de propiciar una cultura de calidad en la organización?</t>
  </si>
  <si>
    <t>Su empresa cumple la normatividad legal para el desarrollo de sus actividades</t>
  </si>
  <si>
    <t>Se manejan indicadores de Gestión. Se hace un plan en caso de incumplimiento</t>
  </si>
  <si>
    <t>Tiene definidos y documentados sus procesos  más importantes (proceso productivo, administrativo, financiero, comercial entre otros)</t>
  </si>
  <si>
    <t>Mercado</t>
  </si>
  <si>
    <t>Estrategia Comercial</t>
  </si>
  <si>
    <t>La empresa cuenta con metas comerciales medibles y verificables en un plazo de tiempo definido, con asignación del responsable de su cumplimiento.</t>
  </si>
  <si>
    <t>Tiene alguna estrategia para conseguir nuevos clientes</t>
  </si>
  <si>
    <t>Precio</t>
  </si>
  <si>
    <t>Los precios de la empresa están determinados con base en el conocimiento de sus costos, de la demanda y de la competencia.</t>
  </si>
  <si>
    <t>Comunicaciones</t>
  </si>
  <si>
    <t>Cuenta con un sistema de comunicaciones con sus clientes y empleados</t>
  </si>
  <si>
    <t>CRM</t>
  </si>
  <si>
    <t>Satisfacción Cliente</t>
  </si>
  <si>
    <t xml:space="preserve">La empresa mide la satisfacción de sus clientes </t>
  </si>
  <si>
    <t>Imagen Corporativa</t>
  </si>
  <si>
    <t>Cuenta con imagen corporativa (Manual de Imagen Corporativa)</t>
  </si>
  <si>
    <t>Investigación</t>
  </si>
  <si>
    <t>Estructura Organizacional</t>
  </si>
  <si>
    <t>Seguridad Laboral</t>
  </si>
  <si>
    <t>Clima Organizacional</t>
  </si>
  <si>
    <t>Selección / vinculación</t>
  </si>
  <si>
    <t>Capacitación</t>
  </si>
  <si>
    <t xml:space="preserve">Evaluación </t>
  </si>
  <si>
    <t>La empresa tiene implementado el SGSST ( Sistema General de seguridad y Salud en el trabajo)</t>
  </si>
  <si>
    <t>Se desarrollan planes enfocados a generar armonía en el ambiente laboral de la organización.</t>
  </si>
  <si>
    <t>Instalaciones</t>
  </si>
  <si>
    <t>Capacidad</t>
  </si>
  <si>
    <t>Calidad</t>
  </si>
  <si>
    <t>Compras</t>
  </si>
  <si>
    <t>Proveedores</t>
  </si>
  <si>
    <t>La infraestructura, instalaciones y equipos de la empresa son adecuados para atender sus necesidades de funcionamiento y operación actual y futura.</t>
  </si>
  <si>
    <t>La empresa tiene definida su capacidad de producción o de prestación de servicios y con base en esto se coordina la utilización de los recursos físicos, humanos y financieros.</t>
  </si>
  <si>
    <t>Adopta alguna norma de gestión calidad en algunos de los procesos de la organización</t>
  </si>
  <si>
    <t>Evalúa y selecciona proveedores en función de su capacidad para suministrar productos de acuerdo con los requisitos de la Organización</t>
  </si>
  <si>
    <t>Presupuestos</t>
  </si>
  <si>
    <t>Información Financiera</t>
  </si>
  <si>
    <t>Sistema Contable</t>
  </si>
  <si>
    <t>Costos</t>
  </si>
  <si>
    <t>Crecimiento</t>
  </si>
  <si>
    <t>Contabilidad</t>
  </si>
  <si>
    <t>Informes financieros</t>
  </si>
  <si>
    <t>Estrategia Financiera</t>
  </si>
  <si>
    <t>La empresa realiza presupuestos anuales de ingresos, egresos y flujo de caja.</t>
  </si>
  <si>
    <t>La información financiera de la empresa se usa para la toma de decisiones.</t>
  </si>
  <si>
    <t>La empresa cuenta con un sistema claro para establecer sus costos, dependiendo de los productos  y procesos.</t>
  </si>
  <si>
    <t>Se entiende con claridad que parte del negocio involucra los mayores costos o gastos?</t>
  </si>
  <si>
    <t xml:space="preserve">La empresa evalúa el crecimiento del negocio frente a las inversiones realizadas y conoce el retorno sobre su inversión. </t>
  </si>
  <si>
    <t xml:space="preserve">La empresa lleva contabilidad </t>
  </si>
  <si>
    <t>La Empresa genera informes  financieros con frecuencia mínimo mensual</t>
  </si>
  <si>
    <t>La empresa cuenta con metas financieras medibles y verificables en un plazo de tiempo definido, con asignación del responsable de su cumplimiento.</t>
  </si>
  <si>
    <t>PROCESOS DE LA EMPRESA</t>
  </si>
  <si>
    <t>Criterio Nivel de  esfuerzo</t>
  </si>
  <si>
    <t>ESTADO</t>
  </si>
  <si>
    <t>La empresa tiene definida su estructura organizacional (Definido el organigrama, los  cargos,  perfiles y manual de funciones).</t>
  </si>
  <si>
    <t>OBSERVACIONES GENERALES</t>
  </si>
  <si>
    <t>Investiga periódicamente a la competencia (Precios, productos, servicio)</t>
  </si>
  <si>
    <t>La empresa cuenta con un responsable para la gestión de compras,  o  por lo menos establece responsabilidades al respecto con su personal.</t>
  </si>
  <si>
    <t>Implementación Parcial</t>
  </si>
  <si>
    <t>Implementación Completa</t>
  </si>
  <si>
    <t>CRITERIOS DE VALORACIÓN</t>
  </si>
  <si>
    <t>Planeación estratégica</t>
  </si>
  <si>
    <t>¿En la empresa realizan evaluación de desempeño (mínimo una vez al año?</t>
  </si>
  <si>
    <t>SUGERENCIAS</t>
  </si>
  <si>
    <t>INSTRUCTOR UNO</t>
  </si>
  <si>
    <t>INSTRUCTOR DOS</t>
  </si>
  <si>
    <t>TECNOLOGÍA EN GESTIÓN DE MERCADOS</t>
  </si>
  <si>
    <t>Principales hallazgos</t>
  </si>
  <si>
    <t>TALENTO HUMANO</t>
  </si>
  <si>
    <t xml:space="preserve">La empresa ha realizado investigaciones sobre tendencias en su sector en el último año </t>
  </si>
  <si>
    <t>¿Establece en el área de producción los estándares necesarios para respetar  las especificaciones en cuanto a control de calidad?</t>
  </si>
  <si>
    <t>¿Incrementan el desarrollo personal con capacitación y entrenamiento?</t>
  </si>
  <si>
    <t>¿Cuenta con herramientas para hacerle seguimiento a sus clientes? (CRM)</t>
  </si>
  <si>
    <t>Identifica su mercado objetivo (¿Conoce realmente a su cliente?)</t>
  </si>
  <si>
    <t>Sin Acción (No implementada)</t>
  </si>
  <si>
    <t>Iniciación (En primera fase de implementación)</t>
  </si>
  <si>
    <t>Implementada, evaluada y sostenida</t>
  </si>
  <si>
    <t>Consecución de clientes</t>
  </si>
  <si>
    <t>Conocimiento Competencia</t>
  </si>
  <si>
    <t>Ámbito legal</t>
  </si>
  <si>
    <t>Establece procesos adecuados de reclutamiento, selección, contratación, vinculación e inducción</t>
  </si>
  <si>
    <t>Debilidad que no afecta de manera directa los procesos de la empresa</t>
  </si>
  <si>
    <t>HERRAMIENTA DIAGNÓSTICO 
MICROENTORNO</t>
  </si>
  <si>
    <t>INSTRUCTORES</t>
  </si>
  <si>
    <t>% EVALUACIÓN</t>
  </si>
  <si>
    <t>Nivel de Esfuerzo</t>
  </si>
  <si>
    <t>MICROENTORNO - ÁREAS FUNCIONALES</t>
  </si>
  <si>
    <t>DIRECCIÓN</t>
  </si>
  <si>
    <t>MERCADEO Y VENTAS</t>
  </si>
  <si>
    <t>OPERACIÓN</t>
  </si>
  <si>
    <t>FINANZAS/ CONTABILIDAD</t>
  </si>
  <si>
    <t>Producción/ Prestación 
 del Servicio</t>
  </si>
  <si>
    <t>La planeación de la producción, prestación del servicio y/o de las operaciones está basada en pronósticos/ proyecciones</t>
  </si>
  <si>
    <t>Mano de Obra y /o Maquinaria</t>
  </si>
  <si>
    <t>Cuenta con la disponibilidad de mano de obra calificada y/o maquinaria para responder a los requerimientos de producción/ prestación del servicio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</si>
</sst>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1"/>
      <name val="Arial Narrow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0"/>
      <color theme="4" tint="-0.499984740745262"/>
      <name val="Arial"/>
      <family val="2"/>
    </font>
    <font>
      <b/>
      <sz val="16"/>
      <color theme="4" tint="-0.499984740745262"/>
      <name val="Arial"/>
      <family val="2"/>
    </font>
    <font>
      <b/>
      <sz val="22"/>
      <color theme="4" tint="-0.499984740745262"/>
      <name val="Arial"/>
      <family val="2"/>
    </font>
    <font>
      <sz val="11"/>
      <color theme="1"/>
      <name val="Arial"/>
      <family val="2"/>
    </font>
    <font>
      <b/>
      <sz val="18"/>
      <color theme="4" tint="-0.499984740745262"/>
      <name val="Arial"/>
      <family val="2"/>
    </font>
    <font>
      <i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theme="6" tint="-0.499984740745262"/>
      <name val="Arial"/>
      <family val="2"/>
    </font>
    <font>
      <b/>
      <sz val="12"/>
      <color theme="1"/>
      <name val="Arial"/>
      <family val="2"/>
    </font>
    <font>
      <b/>
      <sz val="10"/>
      <color theme="4" tint="-0.499984740745262"/>
      <name val="Arial"/>
      <family val="2"/>
    </font>
    <font>
      <b/>
      <sz val="20"/>
      <color theme="6" tint="-0.499984740745262"/>
      <name val="Arial"/>
      <family val="2"/>
    </font>
    <font>
      <b/>
      <sz val="14"/>
      <color theme="4" tint="-0.499984740745262"/>
      <name val="Arial"/>
      <family val="2"/>
    </font>
    <font>
      <b/>
      <sz val="12"/>
      <color theme="4" tint="-0.499984740745262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18"/>
      <color theme="6" tint="-0.499984740745262"/>
      <name val="Arial"/>
      <family val="2"/>
    </font>
    <font>
      <b/>
      <sz val="16"/>
      <color theme="6" tint="-0.499984740745262"/>
      <name val="Arial"/>
      <family val="2"/>
    </font>
    <font>
      <sz val="12"/>
      <color theme="4" tint="-0.499984740745262"/>
      <name val="Arial"/>
      <family val="2"/>
    </font>
    <font>
      <b/>
      <sz val="13"/>
      <color theme="1"/>
      <name val="Arial"/>
      <family val="2"/>
    </font>
    <font>
      <sz val="11"/>
      <color theme="4" tint="-0.499984740745262"/>
      <name val="Arial"/>
      <family val="2"/>
    </font>
    <font>
      <b/>
      <sz val="13"/>
      <color theme="4" tint="-0.499984740745262"/>
      <name val="Arial"/>
      <family val="2"/>
    </font>
    <font>
      <b/>
      <sz val="11"/>
      <color theme="1"/>
      <name val="Arial"/>
      <family val="2"/>
    </font>
    <font>
      <sz val="24"/>
      <color theme="1"/>
      <name val="Arial"/>
      <family val="2"/>
    </font>
    <font>
      <b/>
      <sz val="10"/>
      <color theme="6" tint="-0.499984740745262"/>
      <name val="Arial"/>
      <family val="2"/>
    </font>
    <font>
      <sz val="20"/>
      <color theme="1"/>
      <name val="Arial"/>
      <family val="2"/>
    </font>
    <font>
      <sz val="11"/>
      <color theme="0"/>
      <name val="Arial"/>
      <family val="2"/>
    </font>
    <font>
      <i/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rgb="FF000000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6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/>
    <xf numFmtId="0" fontId="2" fillId="0" borderId="0" xfId="0" applyFont="1" applyAlignment="1"/>
    <xf numFmtId="0" fontId="4" fillId="0" borderId="0" xfId="0" applyFont="1" applyAlignment="1"/>
    <xf numFmtId="0" fontId="9" fillId="6" borderId="7" xfId="0" applyFont="1" applyFill="1" applyBorder="1" applyAlignment="1">
      <alignment horizontal="left"/>
    </xf>
    <xf numFmtId="0" fontId="9" fillId="0" borderId="7" xfId="0" applyFont="1" applyBorder="1" applyAlignment="1">
      <alignment horizontal="left"/>
    </xf>
    <xf numFmtId="0" fontId="9" fillId="6" borderId="7" xfId="0" applyFont="1" applyFill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11" fillId="0" borderId="7" xfId="0" applyFont="1" applyBorder="1" applyAlignment="1">
      <alignment horizontal="left" vertical="center" wrapText="1"/>
    </xf>
    <xf numFmtId="0" fontId="11" fillId="6" borderId="7" xfId="0" applyFont="1" applyFill="1" applyBorder="1" applyAlignment="1">
      <alignment horizontal="left" vertical="center" wrapText="1"/>
    </xf>
    <xf numFmtId="0" fontId="9" fillId="6" borderId="7" xfId="0" applyFont="1" applyFill="1" applyBorder="1" applyAlignment="1">
      <alignment horizontal="center" vertical="center"/>
    </xf>
    <xf numFmtId="0" fontId="9" fillId="6" borderId="30" xfId="0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0" xfId="0" applyFont="1" applyBorder="1"/>
    <xf numFmtId="0" fontId="9" fillId="0" borderId="0" xfId="0" applyFont="1"/>
    <xf numFmtId="0" fontId="9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/>
    <xf numFmtId="0" fontId="15" fillId="7" borderId="37" xfId="0" applyFont="1" applyFill="1" applyBorder="1" applyAlignment="1">
      <alignment horizontal="center" vertical="center"/>
    </xf>
    <xf numFmtId="0" fontId="15" fillId="7" borderId="11" xfId="0" applyFont="1" applyFill="1" applyBorder="1" applyAlignment="1">
      <alignment horizontal="center" vertical="center" wrapText="1"/>
    </xf>
    <xf numFmtId="0" fontId="15" fillId="7" borderId="38" xfId="0" applyFont="1" applyFill="1" applyBorder="1" applyAlignment="1">
      <alignment horizontal="center" vertical="center" wrapText="1"/>
    </xf>
    <xf numFmtId="0" fontId="9" fillId="2" borderId="7" xfId="0" applyFont="1" applyFill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7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9" fillId="0" borderId="5" xfId="0" applyFont="1" applyBorder="1"/>
    <xf numFmtId="0" fontId="9" fillId="0" borderId="25" xfId="0" applyFont="1" applyBorder="1" applyAlignment="1">
      <alignment horizontal="center" vertical="center"/>
    </xf>
    <xf numFmtId="0" fontId="17" fillId="6" borderId="11" xfId="0" applyFont="1" applyFill="1" applyBorder="1" applyAlignment="1">
      <alignment horizontal="center" vertical="center"/>
    </xf>
    <xf numFmtId="0" fontId="17" fillId="6" borderId="11" xfId="0" applyFont="1" applyFill="1" applyBorder="1" applyAlignment="1">
      <alignment horizontal="center" vertical="center" wrapText="1"/>
    </xf>
    <xf numFmtId="0" fontId="18" fillId="6" borderId="11" xfId="0" applyFont="1" applyFill="1" applyBorder="1" applyAlignment="1">
      <alignment horizontal="center" vertical="center" wrapText="1"/>
    </xf>
    <xf numFmtId="0" fontId="15" fillId="6" borderId="11" xfId="0" applyFont="1" applyFill="1" applyBorder="1" applyAlignment="1">
      <alignment horizontal="center" vertical="center" wrapText="1"/>
    </xf>
    <xf numFmtId="0" fontId="19" fillId="0" borderId="7" xfId="0" applyFont="1" applyFill="1" applyBorder="1" applyAlignment="1">
      <alignment horizontal="center" vertical="center"/>
    </xf>
    <xf numFmtId="0" fontId="9" fillId="0" borderId="7" xfId="0" applyFont="1" applyFill="1" applyBorder="1" applyAlignment="1" applyProtection="1">
      <alignment horizontal="center" vertical="center"/>
      <protection locked="0"/>
    </xf>
    <xf numFmtId="0" fontId="9" fillId="6" borderId="7" xfId="0" applyFont="1" applyFill="1" applyBorder="1" applyAlignment="1" applyProtection="1">
      <alignment horizontal="center" vertical="center"/>
      <protection locked="0"/>
    </xf>
    <xf numFmtId="0" fontId="9" fillId="6" borderId="30" xfId="0" applyFont="1" applyFill="1" applyBorder="1" applyAlignment="1" applyProtection="1">
      <alignment horizontal="center" vertical="center"/>
      <protection locked="0"/>
    </xf>
    <xf numFmtId="2" fontId="9" fillId="8" borderId="33" xfId="0" applyNumberFormat="1" applyFont="1" applyFill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18" fillId="6" borderId="22" xfId="0" applyFont="1" applyFill="1" applyBorder="1" applyAlignment="1">
      <alignment horizontal="center" vertical="center" wrapText="1"/>
    </xf>
    <xf numFmtId="0" fontId="17" fillId="6" borderId="7" xfId="0" applyFont="1" applyFill="1" applyBorder="1" applyAlignment="1">
      <alignment horizontal="center" vertical="center" wrapText="1"/>
    </xf>
    <xf numFmtId="0" fontId="9" fillId="0" borderId="9" xfId="0" applyFont="1" applyFill="1" applyBorder="1" applyAlignment="1" applyProtection="1">
      <alignment horizontal="center" vertical="center"/>
      <protection locked="0"/>
    </xf>
    <xf numFmtId="0" fontId="9" fillId="6" borderId="9" xfId="0" applyFont="1" applyFill="1" applyBorder="1" applyAlignment="1" applyProtection="1">
      <alignment horizontal="center" vertical="center"/>
      <protection locked="0"/>
    </xf>
    <xf numFmtId="0" fontId="11" fillId="0" borderId="7" xfId="0" applyFont="1" applyBorder="1" applyAlignment="1">
      <alignment horizontal="left" vertical="center"/>
    </xf>
    <xf numFmtId="2" fontId="9" fillId="8" borderId="18" xfId="0" applyNumberFormat="1" applyFont="1" applyFill="1" applyBorder="1" applyAlignment="1">
      <alignment horizontal="center"/>
    </xf>
    <xf numFmtId="0" fontId="9" fillId="0" borderId="0" xfId="0" applyFont="1" applyProtection="1">
      <protection locked="0"/>
    </xf>
    <xf numFmtId="0" fontId="25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25" fillId="0" borderId="2" xfId="0" applyFont="1" applyBorder="1" applyAlignment="1">
      <alignment wrapText="1"/>
    </xf>
    <xf numFmtId="0" fontId="24" fillId="0" borderId="0" xfId="0" applyFont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26" fillId="0" borderId="0" xfId="0" applyFont="1"/>
    <xf numFmtId="0" fontId="9" fillId="0" borderId="1" xfId="0" applyFont="1" applyBorder="1"/>
    <xf numFmtId="0" fontId="13" fillId="3" borderId="26" xfId="0" applyFont="1" applyFill="1" applyBorder="1" applyAlignment="1">
      <alignment horizontal="center"/>
    </xf>
    <xf numFmtId="0" fontId="13" fillId="3" borderId="32" xfId="0" applyFont="1" applyFill="1" applyBorder="1" applyAlignment="1">
      <alignment horizontal="center" vertical="center"/>
    </xf>
    <xf numFmtId="0" fontId="13" fillId="3" borderId="28" xfId="0" applyFont="1" applyFill="1" applyBorder="1" applyAlignment="1">
      <alignment horizontal="center" vertical="center"/>
    </xf>
    <xf numFmtId="9" fontId="28" fillId="0" borderId="11" xfId="1" applyFont="1" applyBorder="1" applyAlignment="1">
      <alignment horizontal="center" vertical="center"/>
    </xf>
    <xf numFmtId="164" fontId="28" fillId="0" borderId="7" xfId="0" applyNumberFormat="1" applyFont="1" applyBorder="1" applyAlignment="1">
      <alignment horizontal="center" vertical="center"/>
    </xf>
    <xf numFmtId="0" fontId="30" fillId="3" borderId="32" xfId="0" applyFont="1" applyFill="1" applyBorder="1" applyAlignment="1">
      <alignment horizontal="center" vertical="center"/>
    </xf>
    <xf numFmtId="0" fontId="30" fillId="3" borderId="27" xfId="0" applyFont="1" applyFill="1" applyBorder="1" applyAlignment="1">
      <alignment horizontal="center" vertical="center"/>
    </xf>
    <xf numFmtId="0" fontId="9" fillId="0" borderId="0" xfId="0" applyFont="1" applyBorder="1" applyAlignment="1"/>
    <xf numFmtId="0" fontId="9" fillId="0" borderId="0" xfId="0" applyFont="1" applyBorder="1" applyAlignment="1">
      <alignment horizontal="center"/>
    </xf>
    <xf numFmtId="0" fontId="9" fillId="0" borderId="0" xfId="0" applyFont="1" applyAlignment="1"/>
    <xf numFmtId="0" fontId="13" fillId="8" borderId="9" xfId="0" applyFont="1" applyFill="1" applyBorder="1" applyAlignment="1">
      <alignment horizontal="center" vertical="center" wrapText="1"/>
    </xf>
    <xf numFmtId="0" fontId="17" fillId="7" borderId="30" xfId="0" applyFont="1" applyFill="1" applyBorder="1" applyAlignment="1">
      <alignment vertical="center"/>
    </xf>
    <xf numFmtId="0" fontId="9" fillId="8" borderId="15" xfId="0" applyFont="1" applyFill="1" applyBorder="1"/>
    <xf numFmtId="0" fontId="9" fillId="8" borderId="7" xfId="0" applyFont="1" applyFill="1" applyBorder="1"/>
    <xf numFmtId="0" fontId="9" fillId="8" borderId="17" xfId="0" applyFont="1" applyFill="1" applyBorder="1"/>
    <xf numFmtId="0" fontId="9" fillId="6" borderId="15" xfId="0" applyFont="1" applyFill="1" applyBorder="1"/>
    <xf numFmtId="0" fontId="9" fillId="6" borderId="7" xfId="0" applyFont="1" applyFill="1" applyBorder="1"/>
    <xf numFmtId="0" fontId="9" fillId="6" borderId="17" xfId="0" applyFont="1" applyFill="1" applyBorder="1"/>
    <xf numFmtId="0" fontId="9" fillId="6" borderId="11" xfId="0" applyFont="1" applyFill="1" applyBorder="1"/>
    <xf numFmtId="0" fontId="32" fillId="0" borderId="0" xfId="0" applyFont="1" applyFill="1" applyBorder="1"/>
    <xf numFmtId="9" fontId="9" fillId="0" borderId="0" xfId="0" applyNumberFormat="1" applyFont="1"/>
    <xf numFmtId="0" fontId="21" fillId="0" borderId="0" xfId="0" applyFont="1" applyFill="1" applyBorder="1" applyAlignment="1">
      <alignment horizontal="right"/>
    </xf>
    <xf numFmtId="0" fontId="21" fillId="0" borderId="0" xfId="0" applyNumberFormat="1" applyFont="1" applyFill="1" applyBorder="1" applyAlignment="1">
      <alignment horizontal="center" vertical="center"/>
    </xf>
    <xf numFmtId="0" fontId="28" fillId="6" borderId="7" xfId="0" applyFont="1" applyFill="1" applyBorder="1" applyAlignment="1">
      <alignment horizontal="center"/>
    </xf>
    <xf numFmtId="0" fontId="28" fillId="0" borderId="7" xfId="0" applyFont="1" applyBorder="1" applyAlignment="1">
      <alignment horizontal="center"/>
    </xf>
    <xf numFmtId="0" fontId="28" fillId="0" borderId="21" xfId="0" applyFont="1" applyBorder="1" applyAlignment="1">
      <alignment horizontal="left" indent="3"/>
    </xf>
    <xf numFmtId="0" fontId="12" fillId="2" borderId="29" xfId="0" applyFont="1" applyFill="1" applyBorder="1" applyAlignment="1">
      <alignment horizontal="left" wrapText="1" indent="1"/>
    </xf>
    <xf numFmtId="0" fontId="12" fillId="0" borderId="29" xfId="0" applyFont="1" applyFill="1" applyBorder="1" applyAlignment="1">
      <alignment horizontal="left" wrapText="1" indent="1"/>
    </xf>
    <xf numFmtId="0" fontId="12" fillId="2" borderId="24" xfId="0" applyFont="1" applyFill="1" applyBorder="1" applyAlignment="1">
      <alignment horizontal="left" wrapText="1" indent="1"/>
    </xf>
    <xf numFmtId="0" fontId="9" fillId="2" borderId="7" xfId="0" applyFont="1" applyFill="1" applyBorder="1" applyAlignment="1">
      <alignment horizontal="left" vertical="center" wrapText="1" indent="1"/>
    </xf>
    <xf numFmtId="0" fontId="9" fillId="0" borderId="7" xfId="0" applyFont="1" applyFill="1" applyBorder="1" applyAlignment="1">
      <alignment horizontal="left" vertical="center" wrapText="1" indent="1"/>
    </xf>
    <xf numFmtId="0" fontId="9" fillId="2" borderId="17" xfId="0" applyFont="1" applyFill="1" applyBorder="1" applyAlignment="1">
      <alignment horizontal="left" vertical="center" wrapText="1" indent="1"/>
    </xf>
    <xf numFmtId="0" fontId="17" fillId="0" borderId="0" xfId="0" applyFont="1" applyAlignment="1" applyProtection="1">
      <alignment horizontal="center"/>
      <protection locked="0"/>
    </xf>
    <xf numFmtId="0" fontId="24" fillId="0" borderId="0" xfId="0" applyFont="1" applyAlignment="1" applyProtection="1">
      <alignment horizontal="center"/>
      <protection locked="0"/>
    </xf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13" fillId="0" borderId="0" xfId="0" applyFont="1" applyAlignment="1">
      <alignment horizontal="center"/>
    </xf>
    <xf numFmtId="0" fontId="24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/>
      <protection locked="0"/>
    </xf>
    <xf numFmtId="0" fontId="9" fillId="0" borderId="1" xfId="0" applyFont="1" applyFill="1" applyBorder="1" applyAlignment="1">
      <alignment horizontal="center"/>
    </xf>
    <xf numFmtId="0" fontId="9" fillId="0" borderId="2" xfId="0" applyFont="1" applyFill="1" applyBorder="1" applyAlignment="1">
      <alignment horizontal="center"/>
    </xf>
    <xf numFmtId="0" fontId="9" fillId="0" borderId="3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9" fillId="0" borderId="12" xfId="0" applyFont="1" applyFill="1" applyBorder="1" applyAlignment="1">
      <alignment horizontal="center"/>
    </xf>
    <xf numFmtId="0" fontId="9" fillId="0" borderId="4" xfId="0" applyFont="1" applyFill="1" applyBorder="1" applyAlignment="1">
      <alignment horizontal="center"/>
    </xf>
    <xf numFmtId="0" fontId="9" fillId="0" borderId="5" xfId="0" applyFont="1" applyFill="1" applyBorder="1" applyAlignment="1">
      <alignment horizontal="center"/>
    </xf>
    <xf numFmtId="0" fontId="9" fillId="0" borderId="6" xfId="0" applyFont="1" applyFill="1" applyBorder="1" applyAlignment="1">
      <alignment horizontal="center"/>
    </xf>
    <xf numFmtId="0" fontId="7" fillId="7" borderId="1" xfId="0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center" vertical="center" wrapText="1"/>
    </xf>
    <xf numFmtId="0" fontId="7" fillId="7" borderId="4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  <xf numFmtId="0" fontId="7" fillId="7" borderId="6" xfId="0" applyFont="1" applyFill="1" applyBorder="1" applyAlignment="1">
      <alignment horizontal="center" vertical="center" wrapText="1"/>
    </xf>
    <xf numFmtId="0" fontId="27" fillId="0" borderId="0" xfId="0" applyFont="1" applyAlignment="1" applyProtection="1">
      <alignment horizontal="center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0" fillId="7" borderId="18" xfId="0" applyFont="1" applyFill="1" applyBorder="1" applyAlignment="1">
      <alignment horizontal="center" vertical="center"/>
    </xf>
    <xf numFmtId="0" fontId="10" fillId="7" borderId="19" xfId="0" applyFont="1" applyFill="1" applyBorder="1" applyAlignment="1">
      <alignment horizontal="center" vertical="center"/>
    </xf>
    <xf numFmtId="0" fontId="10" fillId="7" borderId="20" xfId="0" applyFont="1" applyFill="1" applyBorder="1" applyAlignment="1">
      <alignment horizontal="center" vertical="center"/>
    </xf>
    <xf numFmtId="0" fontId="28" fillId="5" borderId="18" xfId="0" applyFont="1" applyFill="1" applyBorder="1" applyAlignment="1">
      <alignment horizontal="center"/>
    </xf>
    <xf numFmtId="0" fontId="28" fillId="5" borderId="19" xfId="0" applyFont="1" applyFill="1" applyBorder="1" applyAlignment="1">
      <alignment horizontal="center"/>
    </xf>
    <xf numFmtId="0" fontId="28" fillId="5" borderId="20" xfId="0" applyFont="1" applyFill="1" applyBorder="1" applyAlignment="1">
      <alignment horizontal="center"/>
    </xf>
    <xf numFmtId="0" fontId="29" fillId="0" borderId="13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2" fillId="3" borderId="1" xfId="0" applyFont="1" applyFill="1" applyBorder="1" applyAlignment="1">
      <alignment horizontal="center" vertical="center"/>
    </xf>
    <xf numFmtId="0" fontId="22" fillId="3" borderId="2" xfId="0" applyFont="1" applyFill="1" applyBorder="1" applyAlignment="1">
      <alignment horizontal="center" vertical="center"/>
    </xf>
    <xf numFmtId="0" fontId="22" fillId="3" borderId="3" xfId="0" applyFont="1" applyFill="1" applyBorder="1" applyAlignment="1">
      <alignment horizontal="center" vertical="center"/>
    </xf>
    <xf numFmtId="0" fontId="22" fillId="3" borderId="4" xfId="0" applyFont="1" applyFill="1" applyBorder="1" applyAlignment="1">
      <alignment horizontal="center" vertical="center"/>
    </xf>
    <xf numFmtId="0" fontId="22" fillId="3" borderId="5" xfId="0" applyFont="1" applyFill="1" applyBorder="1" applyAlignment="1">
      <alignment horizontal="center" vertical="center"/>
    </xf>
    <xf numFmtId="0" fontId="22" fillId="3" borderId="6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12" fillId="6" borderId="7" xfId="0" applyFont="1" applyFill="1" applyBorder="1" applyAlignment="1">
      <alignment horizontal="left" vertical="center" wrapText="1"/>
    </xf>
    <xf numFmtId="0" fontId="20" fillId="0" borderId="9" xfId="0" applyFont="1" applyBorder="1" applyAlignment="1">
      <alignment horizontal="left" vertical="center" wrapText="1"/>
    </xf>
    <xf numFmtId="0" fontId="20" fillId="0" borderId="10" xfId="0" applyFont="1" applyBorder="1" applyAlignment="1">
      <alignment horizontal="left" vertical="center" wrapText="1"/>
    </xf>
    <xf numFmtId="0" fontId="14" fillId="8" borderId="18" xfId="0" applyFont="1" applyFill="1" applyBorder="1" applyAlignment="1">
      <alignment horizontal="center"/>
    </xf>
    <xf numFmtId="0" fontId="14" fillId="8" borderId="19" xfId="0" applyFont="1" applyFill="1" applyBorder="1" applyAlignment="1">
      <alignment horizontal="center"/>
    </xf>
    <xf numFmtId="0" fontId="17" fillId="6" borderId="11" xfId="0" applyFont="1" applyFill="1" applyBorder="1" applyAlignment="1">
      <alignment horizontal="center" vertical="center" wrapText="1"/>
    </xf>
    <xf numFmtId="0" fontId="16" fillId="8" borderId="26" xfId="0" applyFont="1" applyFill="1" applyBorder="1" applyAlignment="1" applyProtection="1">
      <alignment horizontal="center" vertical="center"/>
      <protection locked="0"/>
    </xf>
    <xf numFmtId="0" fontId="16" fillId="8" borderId="27" xfId="0" applyFont="1" applyFill="1" applyBorder="1" applyAlignment="1" applyProtection="1">
      <alignment horizontal="center" vertical="center"/>
      <protection locked="0"/>
    </xf>
    <xf numFmtId="0" fontId="16" fillId="8" borderId="32" xfId="0" applyFont="1" applyFill="1" applyBorder="1" applyAlignment="1" applyProtection="1">
      <alignment horizontal="center" vertical="center"/>
      <protection locked="0"/>
    </xf>
    <xf numFmtId="0" fontId="16" fillId="8" borderId="28" xfId="0" applyFont="1" applyFill="1" applyBorder="1" applyAlignment="1" applyProtection="1">
      <alignment horizontal="center" vertical="center"/>
      <protection locked="0"/>
    </xf>
    <xf numFmtId="0" fontId="12" fillId="0" borderId="7" xfId="0" applyFont="1" applyBorder="1" applyAlignment="1">
      <alignment horizontal="left" vertical="center" wrapText="1"/>
    </xf>
    <xf numFmtId="0" fontId="16" fillId="8" borderId="34" xfId="0" applyFont="1" applyFill="1" applyBorder="1" applyAlignment="1" applyProtection="1">
      <alignment horizontal="center" vertical="center"/>
      <protection locked="0"/>
    </xf>
    <xf numFmtId="0" fontId="16" fillId="8" borderId="31" xfId="0" applyFont="1" applyFill="1" applyBorder="1" applyAlignment="1" applyProtection="1">
      <alignment horizontal="center" vertical="center"/>
      <protection locked="0"/>
    </xf>
    <xf numFmtId="0" fontId="6" fillId="7" borderId="18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12" fillId="0" borderId="9" xfId="0" applyFont="1" applyBorder="1" applyAlignment="1">
      <alignment horizontal="left" vertical="center" wrapText="1"/>
    </xf>
    <xf numFmtId="0" fontId="12" fillId="0" borderId="10" xfId="0" applyFont="1" applyBorder="1" applyAlignment="1">
      <alignment horizontal="left" vertical="center" wrapText="1"/>
    </xf>
    <xf numFmtId="0" fontId="12" fillId="0" borderId="8" xfId="0" applyFont="1" applyBorder="1" applyAlignment="1">
      <alignment horizontal="left" vertical="center" wrapText="1"/>
    </xf>
    <xf numFmtId="0" fontId="23" fillId="8" borderId="26" xfId="0" applyFont="1" applyFill="1" applyBorder="1" applyAlignment="1" applyProtection="1">
      <alignment horizontal="center" vertical="center"/>
      <protection locked="0"/>
    </xf>
    <xf numFmtId="0" fontId="23" fillId="8" borderId="27" xfId="0" applyFont="1" applyFill="1" applyBorder="1" applyAlignment="1" applyProtection="1">
      <alignment horizontal="center" vertical="center"/>
      <protection locked="0"/>
    </xf>
    <xf numFmtId="0" fontId="13" fillId="8" borderId="18" xfId="0" applyFont="1" applyFill="1" applyBorder="1" applyAlignment="1">
      <alignment horizontal="center" vertical="center" wrapText="1"/>
    </xf>
    <xf numFmtId="0" fontId="13" fillId="8" borderId="19" xfId="0" applyFont="1" applyFill="1" applyBorder="1" applyAlignment="1">
      <alignment horizontal="center" vertical="center" wrapText="1"/>
    </xf>
    <xf numFmtId="0" fontId="13" fillId="8" borderId="20" xfId="0" applyFont="1" applyFill="1" applyBorder="1" applyAlignment="1">
      <alignment horizontal="center" vertical="center" wrapText="1"/>
    </xf>
    <xf numFmtId="0" fontId="14" fillId="0" borderId="18" xfId="0" applyFont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5" fillId="7" borderId="36" xfId="0" applyFont="1" applyFill="1" applyBorder="1" applyAlignment="1">
      <alignment horizontal="center" vertical="center" wrapText="1"/>
    </xf>
    <xf numFmtId="0" fontId="15" fillId="7" borderId="35" xfId="0" applyFont="1" applyFill="1" applyBorder="1" applyAlignment="1">
      <alignment horizontal="center" vertical="center" wrapText="1"/>
    </xf>
    <xf numFmtId="0" fontId="28" fillId="8" borderId="14" xfId="0" applyFont="1" applyFill="1" applyBorder="1" applyAlignment="1">
      <alignment horizontal="center" vertical="center" wrapText="1"/>
    </xf>
    <xf numFmtId="0" fontId="28" fillId="8" borderId="15" xfId="0" applyFont="1" applyFill="1" applyBorder="1" applyAlignment="1">
      <alignment horizontal="center" vertical="center" wrapText="1"/>
    </xf>
    <xf numFmtId="0" fontId="28" fillId="8" borderId="29" xfId="0" applyFont="1" applyFill="1" applyBorder="1" applyAlignment="1">
      <alignment horizontal="center" vertical="center" wrapText="1"/>
    </xf>
    <xf numFmtId="0" fontId="28" fillId="8" borderId="7" xfId="0" applyFont="1" applyFill="1" applyBorder="1" applyAlignment="1">
      <alignment horizontal="center" vertical="center" wrapText="1"/>
    </xf>
    <xf numFmtId="0" fontId="28" fillId="8" borderId="24" xfId="0" applyFont="1" applyFill="1" applyBorder="1" applyAlignment="1">
      <alignment horizontal="center" vertical="center" wrapText="1"/>
    </xf>
    <xf numFmtId="0" fontId="28" fillId="8" borderId="17" xfId="0" applyFont="1" applyFill="1" applyBorder="1" applyAlignment="1">
      <alignment horizontal="center" vertical="center" wrapText="1"/>
    </xf>
    <xf numFmtId="0" fontId="28" fillId="6" borderId="14" xfId="0" applyFont="1" applyFill="1" applyBorder="1" applyAlignment="1">
      <alignment horizontal="center" vertical="center" wrapText="1"/>
    </xf>
    <xf numFmtId="0" fontId="28" fillId="6" borderId="15" xfId="0" applyFont="1" applyFill="1" applyBorder="1" applyAlignment="1">
      <alignment horizontal="center" vertical="center" wrapText="1"/>
    </xf>
    <xf numFmtId="0" fontId="28" fillId="6" borderId="29" xfId="0" applyFont="1" applyFill="1" applyBorder="1" applyAlignment="1">
      <alignment horizontal="center" vertical="center" wrapText="1"/>
    </xf>
    <xf numFmtId="0" fontId="28" fillId="6" borderId="7" xfId="0" applyFont="1" applyFill="1" applyBorder="1" applyAlignment="1">
      <alignment horizontal="center" vertical="center" wrapText="1"/>
    </xf>
    <xf numFmtId="0" fontId="28" fillId="6" borderId="24" xfId="0" applyFont="1" applyFill="1" applyBorder="1" applyAlignment="1">
      <alignment horizontal="center" vertical="center" wrapText="1"/>
    </xf>
    <xf numFmtId="0" fontId="28" fillId="6" borderId="17" xfId="0" applyFont="1" applyFill="1" applyBorder="1" applyAlignment="1">
      <alignment horizontal="center" vertical="center" wrapText="1"/>
    </xf>
    <xf numFmtId="0" fontId="9" fillId="6" borderId="7" xfId="0" applyFont="1" applyFill="1" applyBorder="1" applyAlignment="1">
      <alignment horizontal="center"/>
    </xf>
    <xf numFmtId="0" fontId="9" fillId="6" borderId="17" xfId="0" applyFont="1" applyFill="1" applyBorder="1" applyAlignment="1">
      <alignment horizontal="center"/>
    </xf>
    <xf numFmtId="0" fontId="9" fillId="8" borderId="15" xfId="0" applyFont="1" applyFill="1" applyBorder="1" applyAlignment="1">
      <alignment horizontal="center"/>
    </xf>
    <xf numFmtId="0" fontId="9" fillId="8" borderId="7" xfId="0" applyFont="1" applyFill="1" applyBorder="1" applyAlignment="1">
      <alignment horizontal="center"/>
    </xf>
    <xf numFmtId="0" fontId="9" fillId="8" borderId="17" xfId="0" applyFont="1" applyFill="1" applyBorder="1" applyAlignment="1">
      <alignment horizontal="center"/>
    </xf>
    <xf numFmtId="0" fontId="9" fillId="6" borderId="15" xfId="0" applyFont="1" applyFill="1" applyBorder="1" applyAlignment="1">
      <alignment horizontal="center"/>
    </xf>
    <xf numFmtId="0" fontId="28" fillId="8" borderId="14" xfId="0" applyFont="1" applyFill="1" applyBorder="1" applyAlignment="1">
      <alignment horizontal="center" vertical="center"/>
    </xf>
    <xf numFmtId="0" fontId="28" fillId="8" borderId="15" xfId="0" applyFont="1" applyFill="1" applyBorder="1" applyAlignment="1">
      <alignment horizontal="center" vertical="center"/>
    </xf>
    <xf numFmtId="0" fontId="28" fillId="8" borderId="29" xfId="0" applyFont="1" applyFill="1" applyBorder="1" applyAlignment="1">
      <alignment horizontal="center" vertical="center"/>
    </xf>
    <xf numFmtId="0" fontId="28" fillId="8" borderId="7" xfId="0" applyFont="1" applyFill="1" applyBorder="1" applyAlignment="1">
      <alignment horizontal="center" vertical="center"/>
    </xf>
    <xf numFmtId="0" fontId="28" fillId="8" borderId="24" xfId="0" applyFont="1" applyFill="1" applyBorder="1" applyAlignment="1">
      <alignment horizontal="center" vertical="center"/>
    </xf>
    <xf numFmtId="0" fontId="28" fillId="8" borderId="17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0" fontId="8" fillId="9" borderId="5" xfId="0" applyFont="1" applyFill="1" applyBorder="1" applyAlignment="1">
      <alignment horizontal="center" vertical="center"/>
    </xf>
    <xf numFmtId="0" fontId="17" fillId="7" borderId="30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left" wrapText="1"/>
    </xf>
    <xf numFmtId="0" fontId="28" fillId="6" borderId="7" xfId="0" applyFont="1" applyFill="1" applyBorder="1" applyAlignment="1">
      <alignment horizontal="center" vertical="center"/>
    </xf>
    <xf numFmtId="0" fontId="13" fillId="8" borderId="9" xfId="0" applyFont="1" applyFill="1" applyBorder="1" applyAlignment="1">
      <alignment horizontal="center" vertical="center" wrapText="1"/>
    </xf>
    <xf numFmtId="0" fontId="13" fillId="8" borderId="10" xfId="0" applyFont="1" applyFill="1" applyBorder="1" applyAlignment="1">
      <alignment horizontal="center" vertical="center" wrapText="1"/>
    </xf>
    <xf numFmtId="0" fontId="9" fillId="6" borderId="30" xfId="0" applyFont="1" applyFill="1" applyBorder="1" applyAlignment="1">
      <alignment horizontal="center" vertical="center"/>
    </xf>
    <xf numFmtId="0" fontId="9" fillId="6" borderId="1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 wrapText="1"/>
    </xf>
    <xf numFmtId="0" fontId="31" fillId="4" borderId="2" xfId="0" applyFont="1" applyFill="1" applyBorder="1" applyAlignment="1">
      <alignment horizontal="center" vertical="center" wrapText="1"/>
    </xf>
    <xf numFmtId="0" fontId="31" fillId="4" borderId="3" xfId="0" applyFont="1" applyFill="1" applyBorder="1" applyAlignment="1">
      <alignment horizontal="center" vertical="center" wrapText="1"/>
    </xf>
    <xf numFmtId="0" fontId="31" fillId="4" borderId="13" xfId="0" applyFont="1" applyFill="1" applyBorder="1" applyAlignment="1">
      <alignment horizontal="center" vertical="center" wrapText="1"/>
    </xf>
    <xf numFmtId="0" fontId="31" fillId="4" borderId="0" xfId="0" applyFont="1" applyFill="1" applyBorder="1" applyAlignment="1">
      <alignment horizontal="center" vertical="center" wrapText="1"/>
    </xf>
    <xf numFmtId="0" fontId="31" fillId="4" borderId="12" xfId="0" applyFont="1" applyFill="1" applyBorder="1" applyAlignment="1">
      <alignment horizontal="center" vertical="center" wrapText="1"/>
    </xf>
    <xf numFmtId="0" fontId="31" fillId="4" borderId="4" xfId="0" applyFont="1" applyFill="1" applyBorder="1" applyAlignment="1">
      <alignment horizontal="center" vertical="center" wrapText="1"/>
    </xf>
    <xf numFmtId="0" fontId="31" fillId="4" borderId="5" xfId="0" applyFont="1" applyFill="1" applyBorder="1" applyAlignment="1">
      <alignment horizontal="center" vertical="center" wrapText="1"/>
    </xf>
    <xf numFmtId="0" fontId="31" fillId="4" borderId="6" xfId="0" applyFont="1" applyFill="1" applyBorder="1" applyAlignment="1">
      <alignment horizontal="center" vertical="center" wrapText="1"/>
    </xf>
    <xf numFmtId="0" fontId="9" fillId="6" borderId="16" xfId="0" applyFont="1" applyFill="1" applyBorder="1" applyAlignment="1">
      <alignment horizontal="center"/>
    </xf>
    <xf numFmtId="0" fontId="9" fillId="6" borderId="23" xfId="0" applyFont="1" applyFill="1" applyBorder="1" applyAlignment="1">
      <alignment horizontal="center"/>
    </xf>
    <xf numFmtId="0" fontId="9" fillId="6" borderId="25" xfId="0" applyFont="1" applyFill="1" applyBorder="1" applyAlignment="1">
      <alignment horizontal="center"/>
    </xf>
    <xf numFmtId="0" fontId="9" fillId="8" borderId="16" xfId="0" applyFont="1" applyFill="1" applyBorder="1" applyAlignment="1">
      <alignment horizontal="center"/>
    </xf>
    <xf numFmtId="0" fontId="9" fillId="8" borderId="23" xfId="0" applyFont="1" applyFill="1" applyBorder="1" applyAlignment="1">
      <alignment horizontal="center"/>
    </xf>
    <xf numFmtId="0" fontId="9" fillId="8" borderId="25" xfId="0" applyFont="1" applyFill="1" applyBorder="1" applyAlignment="1">
      <alignment horizontal="center"/>
    </xf>
    <xf numFmtId="0" fontId="9" fillId="6" borderId="11" xfId="0" applyFont="1" applyFill="1" applyBorder="1" applyAlignment="1">
      <alignment horizontal="center"/>
    </xf>
    <xf numFmtId="0" fontId="33" fillId="0" borderId="7" xfId="0" applyFont="1" applyBorder="1" applyAlignment="1">
      <alignment horizontal="left" vertical="center" wrapText="1"/>
    </xf>
    <xf numFmtId="0" fontId="19" fillId="0" borderId="7" xfId="0" applyFont="1" applyFill="1" applyBorder="1" applyAlignment="1" applyProtection="1">
      <alignment horizontal="center" vertical="center"/>
      <protection locked="0"/>
    </xf>
    <xf numFmtId="0" fontId="33" fillId="6" borderId="7" xfId="0" applyFont="1" applyFill="1" applyBorder="1" applyAlignment="1">
      <alignment horizontal="left" vertical="center" wrapText="1"/>
    </xf>
    <xf numFmtId="0" fontId="20" fillId="6" borderId="7" xfId="0" applyFont="1" applyFill="1" applyBorder="1" applyAlignment="1">
      <alignment horizontal="left" vertical="center" wrapText="1"/>
    </xf>
    <xf numFmtId="0" fontId="19" fillId="6" borderId="7" xfId="0" applyFont="1" applyFill="1" applyBorder="1" applyAlignment="1" applyProtection="1">
      <alignment horizontal="center" vertical="center"/>
      <protection locked="0"/>
    </xf>
    <xf numFmtId="0" fontId="19" fillId="6" borderId="30" xfId="0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Porcentaje" xfId="1" builtinId="5"/>
  </cellStyles>
  <dxfs count="4">
    <dxf>
      <fill>
        <patternFill>
          <bgColor rgb="FF93B64E"/>
        </patternFill>
      </fill>
    </dxf>
    <dxf>
      <font>
        <b/>
        <i val="0"/>
        <color theme="0"/>
      </font>
      <fill>
        <patternFill>
          <bgColor rgb="FF003300"/>
        </patternFill>
      </fill>
    </dxf>
    <dxf>
      <fill>
        <patternFill>
          <bgColor rgb="FF93B64E"/>
        </patternFill>
      </fill>
    </dxf>
    <dxf>
      <font>
        <b/>
        <i val="0"/>
        <color theme="0"/>
      </font>
      <fill>
        <patternFill>
          <bgColor rgb="FF003300"/>
        </patternFill>
      </fill>
    </dxf>
  </dxfs>
  <tableStyles count="0" defaultTableStyle="TableStyleMedium2" defaultPivotStyle="PivotStyleLight16"/>
  <colors>
    <mruColors>
      <color rgb="FF93B64E"/>
      <color rgb="FF003300"/>
      <color rgb="FF0099FF"/>
      <color rgb="FFFFDB69"/>
      <color rgb="FFEEB500"/>
      <color rgb="FFFF90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200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EVALUACIÓN PROCESOS</a:t>
            </a:r>
            <a:r>
              <a:rPr lang="es-CO" sz="20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 DE LA EMPRESA</a:t>
            </a:r>
            <a:endParaRPr lang="es-CO" sz="2000">
              <a:solidFill>
                <a:schemeClr val="accent1">
                  <a:lumMod val="50000"/>
                </a:schemeClr>
              </a:solidFill>
            </a:endParaRPr>
          </a:p>
        </c:rich>
      </c:tx>
      <c:layout/>
      <c:overlay val="0"/>
      <c:spPr>
        <a:solidFill>
          <a:schemeClr val="accent3">
            <a:lumMod val="60000"/>
            <a:lumOff val="40000"/>
          </a:schemeClr>
        </a:solidFill>
        <a:ln w="25400" cap="flat" cmpd="sng" algn="ctr">
          <a:solidFill>
            <a:schemeClr val="accent1"/>
          </a:solidFill>
          <a:prstDash val="solid"/>
        </a:ln>
        <a:effectLst/>
      </c:sp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CONSOLIDADO!$J$4</c:f>
              <c:strCache>
                <c:ptCount val="1"/>
                <c:pt idx="0">
                  <c:v>EVALUACIÓN</c:v>
                </c:pt>
              </c:strCache>
            </c:strRef>
          </c:tx>
          <c:dLbls>
            <c:dLbl>
              <c:idx val="0"/>
              <c:layout>
                <c:manualLayout>
                  <c:x val="3.3584341000196132E-3"/>
                  <c:y val="4.00770664267059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27BA-4F1B-BEE4-C5A1B671BCCB}"/>
                </c:ext>
              </c:extLst>
            </c:dLbl>
            <c:dLbl>
              <c:idx val="2"/>
              <c:layout>
                <c:manualLayout>
                  <c:x val="-5.5975370836832614E-3"/>
                  <c:y val="-3.08285126359276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27BA-4F1B-BEE4-C5A1B671BCCB}"/>
                </c:ext>
              </c:extLst>
            </c:dLbl>
            <c:dLbl>
              <c:idx val="5"/>
              <c:layout>
                <c:manualLayout>
                  <c:x val="0"/>
                  <c:y val="-3.69942151631131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27BA-4F1B-BEE4-C5A1B671BCCB}"/>
                </c:ext>
              </c:extLst>
            </c:dLbl>
            <c:dLbl>
              <c:idx val="6"/>
              <c:layout>
                <c:manualLayout>
                  <c:x val="1.7912030517595878E-2"/>
                  <c:y val="-3.39116066437143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27BA-4F1B-BEE4-C5A1B671BCCB}"/>
                </c:ext>
              </c:extLst>
            </c:dLbl>
            <c:dLbl>
              <c:idx val="7"/>
              <c:layout>
                <c:manualLayout>
                  <c:x val="2.462916316820599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27BA-4F1B-BEE4-C5A1B671BCCB}"/>
                </c:ext>
              </c:extLst>
            </c:dLbl>
            <c:dLbl>
              <c:idx val="9"/>
              <c:layout>
                <c:manualLayout>
                  <c:x val="1.2314581584102995E-2"/>
                  <c:y val="5.2408471481076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7BA-4F1B-BEE4-C5A1B671BCCB}"/>
                </c:ext>
              </c:extLst>
            </c:dLbl>
            <c:spPr>
              <a:solidFill>
                <a:schemeClr val="accent3">
                  <a:lumMod val="60000"/>
                  <a:lumOff val="40000"/>
                </a:schemeClr>
              </a:solidFill>
              <a:ln w="25400" cap="flat" cmpd="sng" algn="ctr">
                <a:solidFill>
                  <a:schemeClr val="accent1"/>
                </a:solidFill>
                <a:prstDash val="solid"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CONSOLIDADO!$I$5:$I$9</c:f>
              <c:strCache>
                <c:ptCount val="5"/>
                <c:pt idx="0">
                  <c:v>DIRECCIÓN</c:v>
                </c:pt>
                <c:pt idx="1">
                  <c:v>MERCADEO Y VENTAS</c:v>
                </c:pt>
                <c:pt idx="2">
                  <c:v>TALENTO HUMANO</c:v>
                </c:pt>
                <c:pt idx="3">
                  <c:v>OPERACIÓN</c:v>
                </c:pt>
                <c:pt idx="4">
                  <c:v>FINANZAS/ CONTABILIDAD</c:v>
                </c:pt>
              </c:strCache>
            </c:strRef>
          </c:cat>
          <c:val>
            <c:numRef>
              <c:f>CONSOLIDADO!$J$5:$J$9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BA-4F1B-BEE4-C5A1B671BCC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234999536"/>
        <c:axId val="235000096"/>
      </c:radarChart>
      <c:catAx>
        <c:axId val="234999536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235000096"/>
        <c:crosses val="autoZero"/>
        <c:auto val="1"/>
        <c:lblAlgn val="ctr"/>
        <c:lblOffset val="100"/>
        <c:noMultiLvlLbl val="0"/>
      </c:catAx>
      <c:valAx>
        <c:axId val="235000096"/>
        <c:scaling>
          <c:orientation val="minMax"/>
        </c:scaling>
        <c:delete val="1"/>
        <c:axPos val="l"/>
        <c:majorGridlines/>
        <c:numFmt formatCode="0.0" sourceLinked="1"/>
        <c:majorTickMark val="none"/>
        <c:minorTickMark val="none"/>
        <c:tickLblPos val="nextTo"/>
        <c:crossAx val="2349995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NIVEL DE ESFUERZO EMPLEADO A LOS PROCESOS</a:t>
            </a:r>
            <a:endParaRPr lang="en-US" sz="2000">
              <a:solidFill>
                <a:schemeClr val="accent1">
                  <a:lumMod val="50000"/>
                </a:schemeClr>
              </a:solidFill>
            </a:endParaRPr>
          </a:p>
        </c:rich>
      </c:tx>
      <c:layout/>
      <c:overlay val="0"/>
      <c:spPr>
        <a:solidFill>
          <a:schemeClr val="accent3">
            <a:lumMod val="60000"/>
            <a:lumOff val="40000"/>
          </a:schemeClr>
        </a:solidFill>
        <a:ln w="25400" cap="flat" cmpd="sng" algn="ctr">
          <a:solidFill>
            <a:schemeClr val="accent1"/>
          </a:solidFill>
          <a:prstDash val="solid"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CONSOLIDADO!$M$4</c:f>
              <c:strCache>
                <c:ptCount val="1"/>
                <c:pt idx="0">
                  <c:v>ESFUERZO</c:v>
                </c:pt>
              </c:strCache>
            </c:strRef>
          </c:tx>
          <c:spPr>
            <a:solidFill>
              <a:schemeClr val="accent3"/>
            </a:solidFill>
            <a:ln w="38100" cap="flat" cmpd="sng" algn="ctr">
              <a:solidFill>
                <a:schemeClr val="lt1"/>
              </a:solidFill>
              <a:prstDash val="solid"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spPr>
              <a:solidFill>
                <a:schemeClr val="lt1"/>
              </a:solidFill>
              <a:ln w="25400" cap="flat" cmpd="sng" algn="ctr">
                <a:solidFill>
                  <a:schemeClr val="accent3"/>
                </a:solidFill>
                <a:prstDash val="solid"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CONSOLIDADO!$I$5:$I$9</c:f>
              <c:strCache>
                <c:ptCount val="5"/>
                <c:pt idx="0">
                  <c:v>DIRECCIÓN</c:v>
                </c:pt>
                <c:pt idx="1">
                  <c:v>MERCADEO Y VENTAS</c:v>
                </c:pt>
                <c:pt idx="2">
                  <c:v>TALENTO HUMANO</c:v>
                </c:pt>
                <c:pt idx="3">
                  <c:v>OPERACIÓN</c:v>
                </c:pt>
                <c:pt idx="4">
                  <c:v>FINANZAS/ CONTABILIDAD</c:v>
                </c:pt>
              </c:strCache>
            </c:strRef>
          </c:cat>
          <c:val>
            <c:numRef>
              <c:f>CONSOLIDADO!$M$5:$M$9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2F-43D3-918F-B886C815067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35002336"/>
        <c:axId val="235002896"/>
      </c:barChart>
      <c:catAx>
        <c:axId val="23500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2640000" anchor="t" anchorCtr="1"/>
          <a:lstStyle/>
          <a:p>
            <a:pPr>
              <a:defRPr sz="700" b="1" baseline="0">
                <a:solidFill>
                  <a:schemeClr val="accent1">
                    <a:lumMod val="50000"/>
                  </a:schemeClr>
                </a:solidFill>
              </a:defRPr>
            </a:pPr>
            <a:endParaRPr lang="en-US"/>
          </a:p>
        </c:txPr>
        <c:crossAx val="235002896"/>
        <c:crosses val="autoZero"/>
        <c:auto val="1"/>
        <c:lblAlgn val="ctr"/>
        <c:lblOffset val="150"/>
        <c:noMultiLvlLbl val="0"/>
      </c:catAx>
      <c:valAx>
        <c:axId val="235002896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extTo"/>
        <c:crossAx val="2350023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EVALUACIÓN</a:t>
            </a:r>
            <a:r>
              <a:rPr lang="es-CO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 VS NIVEL DE ESFUERZO</a:t>
            </a:r>
            <a:endParaRPr lang="es-CO">
              <a:solidFill>
                <a:schemeClr val="accent1">
                  <a:lumMod val="50000"/>
                </a:schemeClr>
              </a:solidFill>
            </a:endParaRPr>
          </a:p>
        </c:rich>
      </c:tx>
      <c:overlay val="0"/>
      <c:spPr>
        <a:solidFill>
          <a:schemeClr val="accent3">
            <a:lumMod val="60000"/>
            <a:lumOff val="40000"/>
          </a:schemeClr>
        </a:solidFill>
        <a:ln w="25400" cap="flat" cmpd="sng" algn="ctr">
          <a:solidFill>
            <a:schemeClr val="accent1"/>
          </a:solidFill>
          <a:prstDash val="solid"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CONSOLIDADO!$J$4</c:f>
              <c:strCache>
                <c:ptCount val="1"/>
                <c:pt idx="0">
                  <c:v>EVALUACIÓN</c:v>
                </c:pt>
              </c:strCache>
            </c:strRef>
          </c:tx>
          <c:invertIfNegative val="0"/>
          <c:dLbls>
            <c:spPr>
              <a:solidFill>
                <a:schemeClr val="lt1"/>
              </a:solidFill>
              <a:ln w="25400" cap="flat" cmpd="sng" algn="ctr">
                <a:solidFill>
                  <a:schemeClr val="accent1"/>
                </a:solidFill>
                <a:prstDash val="solid"/>
              </a:ln>
              <a:effectLst/>
            </c:spPr>
            <c:txPr>
              <a:bodyPr/>
              <a:lstStyle/>
              <a:p>
                <a:pPr>
                  <a:defRPr sz="120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CONSOLIDADO!$I$5:$I$9</c:f>
              <c:strCache>
                <c:ptCount val="5"/>
                <c:pt idx="0">
                  <c:v>DIRECCIÓN</c:v>
                </c:pt>
                <c:pt idx="1">
                  <c:v>MERCADEO Y VENTAS</c:v>
                </c:pt>
                <c:pt idx="2">
                  <c:v>TALENTO HUMANO</c:v>
                </c:pt>
                <c:pt idx="3">
                  <c:v>OPERACIÓN</c:v>
                </c:pt>
                <c:pt idx="4">
                  <c:v>FINANZAS/ CONTABILIDAD</c:v>
                </c:pt>
              </c:strCache>
            </c:strRef>
          </c:cat>
          <c:val>
            <c:numRef>
              <c:f>CONSOLIDADO!$J$5:$J$9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17-4443-A506-93CCAD0FA5C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35104752"/>
        <c:axId val="235105312"/>
      </c:barChart>
      <c:lineChart>
        <c:grouping val="stacked"/>
        <c:varyColors val="0"/>
        <c:ser>
          <c:idx val="1"/>
          <c:order val="1"/>
          <c:tx>
            <c:strRef>
              <c:f>CONSOLIDADO!$M$4</c:f>
              <c:strCache>
                <c:ptCount val="1"/>
                <c:pt idx="0">
                  <c:v>ESFUERZO</c:v>
                </c:pt>
              </c:strCache>
            </c:strRef>
          </c:tx>
          <c:spPr>
            <a:ln w="57150" cap="flat" cmpd="sng" algn="ctr">
              <a:solidFill>
                <a:schemeClr val="accent3"/>
              </a:solidFill>
              <a:prstDash val="solid"/>
            </a:ln>
            <a:effectLst/>
          </c:spPr>
          <c:marker>
            <c:spPr>
              <a:solidFill>
                <a:schemeClr val="accent3">
                  <a:lumMod val="50000"/>
                </a:schemeClr>
              </a:solidFill>
              <a:ln w="57150" cap="flat" cmpd="sng" algn="ctr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spPr>
              <a:solidFill>
                <a:schemeClr val="lt1"/>
              </a:solidFill>
              <a:ln w="25400" cap="flat" cmpd="sng" algn="ctr">
                <a:solidFill>
                  <a:schemeClr val="accent3"/>
                </a:solidFill>
                <a:prstDash val="solid"/>
              </a:ln>
              <a:effectLst/>
            </c:spPr>
            <c:txPr>
              <a:bodyPr/>
              <a:lstStyle/>
              <a:p>
                <a:pPr>
                  <a:defRPr sz="120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CONSOLIDADO!$I$5:$I$9</c:f>
              <c:strCache>
                <c:ptCount val="5"/>
                <c:pt idx="0">
                  <c:v>DIRECCIÓN</c:v>
                </c:pt>
                <c:pt idx="1">
                  <c:v>MERCADEO Y VENTAS</c:v>
                </c:pt>
                <c:pt idx="2">
                  <c:v>TALENTO HUMANO</c:v>
                </c:pt>
                <c:pt idx="3">
                  <c:v>OPERACIÓN</c:v>
                </c:pt>
                <c:pt idx="4">
                  <c:v>FINANZAS/ CONTABILIDAD</c:v>
                </c:pt>
              </c:strCache>
            </c:strRef>
          </c:cat>
          <c:val>
            <c:numRef>
              <c:f>CONSOLIDADO!$M$5:$M$9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17-4443-A506-93CCAD0FA5C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5200416"/>
        <c:axId val="235105872"/>
      </c:lineChart>
      <c:catAx>
        <c:axId val="2351047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1100" b="1">
                <a:solidFill>
                  <a:schemeClr val="accent1">
                    <a:lumMod val="50000"/>
                  </a:schemeClr>
                </a:solidFill>
              </a:defRPr>
            </a:pPr>
            <a:endParaRPr lang="en-US"/>
          </a:p>
        </c:txPr>
        <c:crossAx val="235105312"/>
        <c:crosses val="autoZero"/>
        <c:auto val="1"/>
        <c:lblAlgn val="ctr"/>
        <c:lblOffset val="100"/>
        <c:noMultiLvlLbl val="0"/>
      </c:catAx>
      <c:valAx>
        <c:axId val="235105312"/>
        <c:scaling>
          <c:orientation val="minMax"/>
        </c:scaling>
        <c:delete val="1"/>
        <c:axPos val="l"/>
        <c:numFmt formatCode="0.0" sourceLinked="1"/>
        <c:majorTickMark val="none"/>
        <c:minorTickMark val="none"/>
        <c:tickLblPos val="nextTo"/>
        <c:crossAx val="235104752"/>
        <c:crosses val="autoZero"/>
        <c:crossBetween val="between"/>
      </c:valAx>
      <c:valAx>
        <c:axId val="235105872"/>
        <c:scaling>
          <c:orientation val="minMax"/>
        </c:scaling>
        <c:delete val="1"/>
        <c:axPos val="r"/>
        <c:numFmt formatCode="0.0" sourceLinked="1"/>
        <c:majorTickMark val="out"/>
        <c:minorTickMark val="none"/>
        <c:tickLblPos val="nextTo"/>
        <c:crossAx val="235200416"/>
        <c:crosses val="max"/>
        <c:crossBetween val="between"/>
      </c:valAx>
      <c:catAx>
        <c:axId val="235200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35105872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legend>
      <c:legendPos val="t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DIAGNOSTICO!$B$13</c:f>
              <c:strCache>
                <c:ptCount val="1"/>
                <c:pt idx="0">
                  <c:v>DIRECCIÓN</c:v>
                </c:pt>
              </c:strCache>
            </c:strRef>
          </c:tx>
          <c:spPr>
            <a:solidFill>
              <a:schemeClr val="lt1"/>
            </a:solidFill>
            <a:ln w="38100" cap="flat" cmpd="sng" algn="ctr">
              <a:solidFill>
                <a:schemeClr val="accent3"/>
              </a:solidFill>
              <a:prstDash val="solid"/>
            </a:ln>
            <a:effectLst/>
          </c:spPr>
          <c:cat>
            <c:strRef>
              <c:f>DIAGNOSTICO!$C$15:$C$20</c:f>
              <c:strCache>
                <c:ptCount val="6"/>
                <c:pt idx="0">
                  <c:v>Planeación estratégica</c:v>
                </c:pt>
                <c:pt idx="1">
                  <c:v>Mejora continua</c:v>
                </c:pt>
                <c:pt idx="2">
                  <c:v>Liderazgo</c:v>
                </c:pt>
                <c:pt idx="3">
                  <c:v>Ámbito legal</c:v>
                </c:pt>
                <c:pt idx="4">
                  <c:v>Indicadores</c:v>
                </c:pt>
                <c:pt idx="5">
                  <c:v>Procesos</c:v>
                </c:pt>
              </c:strCache>
            </c:strRef>
          </c:cat>
          <c:val>
            <c:numRef>
              <c:f>DIAGNOSTICO!$H$15:$H$20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6590-43C0-B66E-678B6D9BA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51552"/>
        <c:axId val="235802064"/>
      </c:radarChart>
      <c:catAx>
        <c:axId val="234251552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9525">
            <a:noFill/>
          </a:ln>
        </c:spPr>
        <c:crossAx val="235802064"/>
        <c:crosses val="autoZero"/>
        <c:auto val="1"/>
        <c:lblAlgn val="ctr"/>
        <c:lblOffset val="100"/>
        <c:noMultiLvlLbl val="0"/>
      </c:catAx>
      <c:valAx>
        <c:axId val="23580206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2342515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DIAGNOSTICO!$B$23</c:f>
              <c:strCache>
                <c:ptCount val="1"/>
                <c:pt idx="0">
                  <c:v>MERCADEO Y VENTAS</c:v>
                </c:pt>
              </c:strCache>
            </c:strRef>
          </c:tx>
          <c:cat>
            <c:strRef>
              <c:f>DIAGNOSTICO!$C$25:$C$34</c:f>
              <c:strCache>
                <c:ptCount val="10"/>
                <c:pt idx="0">
                  <c:v>Mercado</c:v>
                </c:pt>
                <c:pt idx="1">
                  <c:v>Estrategia Comercial</c:v>
                </c:pt>
                <c:pt idx="2">
                  <c:v>Consecución de clientes</c:v>
                </c:pt>
                <c:pt idx="3">
                  <c:v>Conocimiento Competencia</c:v>
                </c:pt>
                <c:pt idx="4">
                  <c:v>Precio</c:v>
                </c:pt>
                <c:pt idx="5">
                  <c:v>Comunicaciones</c:v>
                </c:pt>
                <c:pt idx="6">
                  <c:v>CRM</c:v>
                </c:pt>
                <c:pt idx="7">
                  <c:v>Satisfacción Cliente</c:v>
                </c:pt>
                <c:pt idx="8">
                  <c:v>Imagen Corporativa</c:v>
                </c:pt>
                <c:pt idx="9">
                  <c:v>Investigación</c:v>
                </c:pt>
              </c:strCache>
            </c:strRef>
          </c:cat>
          <c:val>
            <c:numRef>
              <c:f>DIAGNOSTICO!$H$25:$H$34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5727-47B8-8766-9CFDDDAAD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804304"/>
        <c:axId val="235804864"/>
      </c:radarChart>
      <c:catAx>
        <c:axId val="23580430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235804864"/>
        <c:crosses val="autoZero"/>
        <c:auto val="1"/>
        <c:lblAlgn val="ctr"/>
        <c:lblOffset val="100"/>
        <c:noMultiLvlLbl val="0"/>
      </c:catAx>
      <c:valAx>
        <c:axId val="235804864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none"/>
        <c:tickLblPos val="nextTo"/>
        <c:crossAx val="2358043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DIAGNOSTICO!$B$37</c:f>
              <c:strCache>
                <c:ptCount val="1"/>
                <c:pt idx="0">
                  <c:v>TALENTO HUMANO</c:v>
                </c:pt>
              </c:strCache>
            </c:strRef>
          </c:tx>
          <c:cat>
            <c:strRef>
              <c:f>DIAGNOSTICO!$C$39:$C$44</c:f>
              <c:strCache>
                <c:ptCount val="6"/>
                <c:pt idx="0">
                  <c:v>Estructura Organizacional</c:v>
                </c:pt>
                <c:pt idx="1">
                  <c:v>Seguridad Laboral</c:v>
                </c:pt>
                <c:pt idx="2">
                  <c:v>Clima Organizacional</c:v>
                </c:pt>
                <c:pt idx="3">
                  <c:v>Selección / vinculación</c:v>
                </c:pt>
                <c:pt idx="4">
                  <c:v>Capacitación</c:v>
                </c:pt>
                <c:pt idx="5">
                  <c:v>Evaluación </c:v>
                </c:pt>
              </c:strCache>
            </c:strRef>
          </c:cat>
          <c:val>
            <c:numRef>
              <c:f>DIAGNOSTICO!$H$39:$H$44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A907-4CA3-9CC2-3CFB21DB0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874304"/>
        <c:axId val="235874864"/>
      </c:radarChart>
      <c:catAx>
        <c:axId val="23587430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235874864"/>
        <c:crosses val="autoZero"/>
        <c:auto val="1"/>
        <c:lblAlgn val="ctr"/>
        <c:lblOffset val="100"/>
        <c:noMultiLvlLbl val="0"/>
      </c:catAx>
      <c:valAx>
        <c:axId val="235874864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none"/>
        <c:tickLblPos val="nextTo"/>
        <c:crossAx val="2358743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OPERACIÓN</a:t>
            </a:r>
          </a:p>
        </c:rich>
      </c:tx>
      <c:layout/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DIAGNOSTICO!$B$47</c:f>
              <c:strCache>
                <c:ptCount val="1"/>
                <c:pt idx="0">
                  <c:v>OPERACIÓN</c:v>
                </c:pt>
              </c:strCache>
            </c:strRef>
          </c:tx>
          <c:cat>
            <c:strRef>
              <c:f>DIAGNOSTICO!$C$49:$C$56</c:f>
              <c:strCache>
                <c:ptCount val="8"/>
                <c:pt idx="0">
                  <c:v>Instalaciones</c:v>
                </c:pt>
                <c:pt idx="1">
                  <c:v>Producción/ Prestación 
 del Servicio</c:v>
                </c:pt>
                <c:pt idx="2">
                  <c:v>Mano de Obra y /o Maquinaria</c:v>
                </c:pt>
                <c:pt idx="3">
                  <c:v>Capacidad</c:v>
                </c:pt>
                <c:pt idx="4">
                  <c:v>Calidad</c:v>
                </c:pt>
                <c:pt idx="5">
                  <c:v>Compras</c:v>
                </c:pt>
                <c:pt idx="6">
                  <c:v>Procesos</c:v>
                </c:pt>
                <c:pt idx="7">
                  <c:v>Proveedores</c:v>
                </c:pt>
              </c:strCache>
            </c:strRef>
          </c:cat>
          <c:val>
            <c:numRef>
              <c:f>DIAGNOSTICO!$H$49:$H$56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63CD-4A2E-9DBD-48893E3F4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322448"/>
        <c:axId val="236323008"/>
      </c:radarChart>
      <c:catAx>
        <c:axId val="23632244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236323008"/>
        <c:crosses val="autoZero"/>
        <c:auto val="1"/>
        <c:lblAlgn val="ctr"/>
        <c:lblOffset val="100"/>
        <c:noMultiLvlLbl val="0"/>
      </c:catAx>
      <c:valAx>
        <c:axId val="236323008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none"/>
        <c:tickLblPos val="nextTo"/>
        <c:crossAx val="236322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FINANCIERA/ CONTABILIDAD</a:t>
            </a:r>
          </a:p>
        </c:rich>
      </c:tx>
      <c:layout/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DIAGNOSTICO!$B$59</c:f>
              <c:strCache>
                <c:ptCount val="1"/>
                <c:pt idx="0">
                  <c:v>FINANZAS/ CONTABILIDAD</c:v>
                </c:pt>
              </c:strCache>
            </c:strRef>
          </c:tx>
          <c:cat>
            <c:strRef>
              <c:f>DIAGNOSTICO!$C$61:$C$68</c:f>
              <c:strCache>
                <c:ptCount val="8"/>
                <c:pt idx="0">
                  <c:v>Presupuestos</c:v>
                </c:pt>
                <c:pt idx="1">
                  <c:v>Información Financiera</c:v>
                </c:pt>
                <c:pt idx="2">
                  <c:v>Sistema Contable</c:v>
                </c:pt>
                <c:pt idx="3">
                  <c:v>Costos</c:v>
                </c:pt>
                <c:pt idx="4">
                  <c:v>Crecimiento</c:v>
                </c:pt>
                <c:pt idx="5">
                  <c:v>Contabilidad</c:v>
                </c:pt>
                <c:pt idx="6">
                  <c:v>Informes financieros</c:v>
                </c:pt>
                <c:pt idx="7">
                  <c:v>Estrategia Financiera</c:v>
                </c:pt>
              </c:strCache>
            </c:strRef>
          </c:cat>
          <c:val>
            <c:numRef>
              <c:f>DIAGNOSTICO!$H$61:$H$68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2AC3-4115-ACEF-F05AF7463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325248"/>
        <c:axId val="236325808"/>
      </c:radarChart>
      <c:catAx>
        <c:axId val="23632524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236325808"/>
        <c:crosses val="autoZero"/>
        <c:auto val="1"/>
        <c:lblAlgn val="ctr"/>
        <c:lblOffset val="100"/>
        <c:noMultiLvlLbl val="0"/>
      </c:catAx>
      <c:valAx>
        <c:axId val="236325808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none"/>
        <c:tickLblPos val="nextTo"/>
        <c:crossAx val="236325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3.jpg"/><Relationship Id="rId1" Type="http://schemas.openxmlformats.org/officeDocument/2006/relationships/image" Target="../media/image6.png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image" Target="../media/image8.png"/><Relationship Id="rId7" Type="http://schemas.openxmlformats.org/officeDocument/2006/relationships/chart" Target="../charts/chart6.xml"/><Relationship Id="rId2" Type="http://schemas.openxmlformats.org/officeDocument/2006/relationships/image" Target="../media/image7.png"/><Relationship Id="rId1" Type="http://schemas.openxmlformats.org/officeDocument/2006/relationships/image" Target="../media/image3.jp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image" Target="../media/image9.png"/><Relationship Id="rId9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130343</xdr:colOff>
      <xdr:row>15</xdr:row>
      <xdr:rowOff>3342</xdr:rowOff>
    </xdr:from>
    <xdr:to>
      <xdr:col>3</xdr:col>
      <xdr:colOff>342843</xdr:colOff>
      <xdr:row>17</xdr:row>
      <xdr:rowOff>108619</xdr:rowOff>
    </xdr:to>
    <xdr:sp macro="[0]!Abrirdiagnostico" textlink="">
      <xdr:nvSpPr>
        <xdr:cNvPr id="7" name="6 Rectángulo redondead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30343" y="2560053"/>
          <a:ext cx="1800000" cy="472908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2">
                  <a:lumMod val="75000"/>
                </a:schemeClr>
              </a:solidFill>
              <a:latin typeface="Arial Narrow" pitchFamily="34" charset="0"/>
            </a:rPr>
            <a:t>DIAGNÓSTICO </a:t>
          </a:r>
          <a:r>
            <a:rPr lang="es-CO" sz="1100" b="1">
              <a:solidFill>
                <a:schemeClr val="accent1">
                  <a:lumMod val="50000"/>
                </a:schemeClr>
              </a:solidFill>
              <a:latin typeface="Arial Narrow" pitchFamily="34" charset="0"/>
            </a:rPr>
            <a:t>ÁREAS</a:t>
          </a:r>
          <a:r>
            <a:rPr lang="es-CO" sz="1100" b="1" baseline="0">
              <a:solidFill>
                <a:schemeClr val="tx2">
                  <a:lumMod val="75000"/>
                </a:schemeClr>
              </a:solidFill>
              <a:latin typeface="Arial Narrow" pitchFamily="34" charset="0"/>
            </a:rPr>
            <a:t> FUNCIONALES</a:t>
          </a:r>
          <a:endParaRPr lang="es-CO" sz="1100" b="1">
            <a:solidFill>
              <a:schemeClr val="tx2">
                <a:lumMod val="75000"/>
              </a:schemeClr>
            </a:solidFill>
            <a:latin typeface="Arial Narrow" pitchFamily="34" charset="0"/>
          </a:endParaRPr>
        </a:p>
      </xdr:txBody>
    </xdr:sp>
    <xdr:clientData/>
  </xdr:twoCellAnchor>
  <xdr:twoCellAnchor>
    <xdr:from>
      <xdr:col>0</xdr:col>
      <xdr:colOff>142630</xdr:colOff>
      <xdr:row>20</xdr:row>
      <xdr:rowOff>188159</xdr:rowOff>
    </xdr:from>
    <xdr:to>
      <xdr:col>3</xdr:col>
      <xdr:colOff>355130</xdr:colOff>
      <xdr:row>24</xdr:row>
      <xdr:rowOff>4448</xdr:rowOff>
    </xdr:to>
    <xdr:sp macro="[0]!ABRIRPROCESOS" textlink="">
      <xdr:nvSpPr>
        <xdr:cNvPr id="10" name="9 Rectángulo redondeado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42630" y="4399212"/>
          <a:ext cx="1800000" cy="467999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 b="1" baseline="0">
              <a:solidFill>
                <a:schemeClr val="tx2">
                  <a:lumMod val="75000"/>
                </a:schemeClr>
              </a:solidFill>
              <a:latin typeface="Arial Narrow" pitchFamily="34" charset="0"/>
            </a:rPr>
            <a:t>OBSERVACIONES</a:t>
          </a:r>
        </a:p>
        <a:p>
          <a:pPr algn="ctr"/>
          <a:r>
            <a:rPr lang="es-CO" sz="1100" b="1" baseline="0">
              <a:solidFill>
                <a:schemeClr val="tx2">
                  <a:lumMod val="75000"/>
                </a:schemeClr>
              </a:solidFill>
              <a:latin typeface="Arial Narrow" pitchFamily="34" charset="0"/>
            </a:rPr>
            <a:t>SUGERENCIAS</a:t>
          </a:r>
        </a:p>
      </xdr:txBody>
    </xdr:sp>
    <xdr:clientData/>
  </xdr:twoCellAnchor>
  <xdr:twoCellAnchor editAs="oneCell">
    <xdr:from>
      <xdr:col>3</xdr:col>
      <xdr:colOff>183817</xdr:colOff>
      <xdr:row>20</xdr:row>
      <xdr:rowOff>138362</xdr:rowOff>
    </xdr:from>
    <xdr:to>
      <xdr:col>4</xdr:col>
      <xdr:colOff>119730</xdr:colOff>
      <xdr:row>24</xdr:row>
      <xdr:rowOff>39225</xdr:rowOff>
    </xdr:to>
    <xdr:pic>
      <xdr:nvPicPr>
        <xdr:cNvPr id="22" name="21 Imagen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317" y="3639217"/>
          <a:ext cx="654466" cy="594350"/>
        </a:xfrm>
        <a:prstGeom prst="ellipse">
          <a:avLst/>
        </a:prstGeom>
        <a:ln w="6350" cap="rnd">
          <a:solidFill>
            <a:schemeClr val="bg1">
              <a:lumMod val="6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0</xdr:col>
      <xdr:colOff>134855</xdr:colOff>
      <xdr:row>18</xdr:row>
      <xdr:rowOff>3341</xdr:rowOff>
    </xdr:from>
    <xdr:to>
      <xdr:col>3</xdr:col>
      <xdr:colOff>347355</xdr:colOff>
      <xdr:row>20</xdr:row>
      <xdr:rowOff>87000</xdr:rowOff>
    </xdr:to>
    <xdr:sp macro="[0]!ABRECONSOLIDADOMENU" textlink="">
      <xdr:nvSpPr>
        <xdr:cNvPr id="28" name="27 Rectángulo redondeado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34855" y="3830052"/>
          <a:ext cx="1800000" cy="468001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2">
                  <a:lumMod val="75000"/>
                </a:schemeClr>
              </a:solidFill>
              <a:latin typeface="Arial Narrow" pitchFamily="34" charset="0"/>
            </a:rPr>
            <a:t>CONSOLIDADO</a:t>
          </a:r>
        </a:p>
        <a:p>
          <a:pPr algn="ctr"/>
          <a:r>
            <a:rPr lang="es-CO" sz="1100" b="1" baseline="0">
              <a:solidFill>
                <a:schemeClr val="tx2">
                  <a:lumMod val="75000"/>
                </a:schemeClr>
              </a:solidFill>
              <a:latin typeface="Arial Narrow" pitchFamily="34" charset="0"/>
            </a:rPr>
            <a:t>GRÁFICO</a:t>
          </a:r>
          <a:endParaRPr lang="es-CO" sz="1100" b="1">
            <a:solidFill>
              <a:schemeClr val="tx2">
                <a:lumMod val="75000"/>
              </a:schemeClr>
            </a:solidFill>
            <a:latin typeface="Arial Narrow" pitchFamily="34" charset="0"/>
          </a:endParaRPr>
        </a:p>
      </xdr:txBody>
    </xdr:sp>
    <xdr:clientData/>
  </xdr:twoCellAnchor>
  <xdr:twoCellAnchor editAs="oneCell">
    <xdr:from>
      <xdr:col>3</xdr:col>
      <xdr:colOff>165825</xdr:colOff>
      <xdr:row>18</xdr:row>
      <xdr:rowOff>2339</xdr:rowOff>
    </xdr:from>
    <xdr:to>
      <xdr:col>4</xdr:col>
      <xdr:colOff>147183</xdr:colOff>
      <xdr:row>20</xdr:row>
      <xdr:rowOff>151981</xdr:rowOff>
    </xdr:to>
    <xdr:pic>
      <xdr:nvPicPr>
        <xdr:cNvPr id="23" name="22 Image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3325" y="3829050"/>
          <a:ext cx="699911" cy="533984"/>
        </a:xfrm>
        <a:prstGeom prst="ellipse">
          <a:avLst/>
        </a:prstGeom>
        <a:ln w="6350" cap="rnd">
          <a:solidFill>
            <a:schemeClr val="bg1">
              <a:lumMod val="6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3</xdr:col>
      <xdr:colOff>168098</xdr:colOff>
      <xdr:row>14</xdr:row>
      <xdr:rowOff>162256</xdr:rowOff>
    </xdr:from>
    <xdr:to>
      <xdr:col>4</xdr:col>
      <xdr:colOff>133685</xdr:colOff>
      <xdr:row>18</xdr:row>
      <xdr:rowOff>38221</xdr:rowOff>
    </xdr:to>
    <xdr:pic>
      <xdr:nvPicPr>
        <xdr:cNvPr id="27" name="26 Imagen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5598" y="3220282"/>
          <a:ext cx="684140" cy="594350"/>
        </a:xfrm>
        <a:prstGeom prst="ellipse">
          <a:avLst/>
        </a:prstGeom>
        <a:ln w="6350" cap="rnd">
          <a:solidFill>
            <a:schemeClr val="bg1">
              <a:lumMod val="6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1</xdr:col>
      <xdr:colOff>242305</xdr:colOff>
      <xdr:row>5</xdr:row>
      <xdr:rowOff>175461</xdr:rowOff>
    </xdr:from>
    <xdr:to>
      <xdr:col>3</xdr:col>
      <xdr:colOff>467992</xdr:colOff>
      <xdr:row>12</xdr:row>
      <xdr:rowOff>58487</xdr:rowOff>
    </xdr:to>
    <xdr:pic>
      <xdr:nvPicPr>
        <xdr:cNvPr id="12" name="11 Imagen" descr="Recorte de pantalla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700" y="1069474"/>
          <a:ext cx="1662792" cy="1178092"/>
        </a:xfrm>
        <a:prstGeom prst="rect">
          <a:avLst/>
        </a:prstGeom>
      </xdr:spPr>
    </xdr:pic>
    <xdr:clientData/>
  </xdr:twoCellAnchor>
  <xdr:twoCellAnchor editAs="oneCell">
    <xdr:from>
      <xdr:col>13</xdr:col>
      <xdr:colOff>334211</xdr:colOff>
      <xdr:row>6</xdr:row>
      <xdr:rowOff>116973</xdr:rowOff>
    </xdr:from>
    <xdr:to>
      <xdr:col>15</xdr:col>
      <xdr:colOff>335118</xdr:colOff>
      <xdr:row>12</xdr:row>
      <xdr:rowOff>66841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3027" y="1219868"/>
          <a:ext cx="1438012" cy="10360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428625</xdr:colOff>
      <xdr:row>0</xdr:row>
      <xdr:rowOff>0</xdr:rowOff>
    </xdr:from>
    <xdr:to>
      <xdr:col>18</xdr:col>
      <xdr:colOff>419100</xdr:colOff>
      <xdr:row>3</xdr:row>
      <xdr:rowOff>190500</xdr:rowOff>
    </xdr:to>
    <xdr:pic macro="[0]!ABREMUNECONSOLIDADO"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63300" y="0"/>
          <a:ext cx="752475" cy="742950"/>
        </a:xfrm>
        <a:prstGeom prst="rect">
          <a:avLst/>
        </a:prstGeom>
      </xdr:spPr>
    </xdr:pic>
    <xdr:clientData/>
  </xdr:twoCellAnchor>
  <xdr:twoCellAnchor editAs="oneCell">
    <xdr:from>
      <xdr:col>15</xdr:col>
      <xdr:colOff>211667</xdr:colOff>
      <xdr:row>3</xdr:row>
      <xdr:rowOff>137584</xdr:rowOff>
    </xdr:from>
    <xdr:to>
      <xdr:col>16</xdr:col>
      <xdr:colOff>408120</xdr:colOff>
      <xdr:row>8</xdr:row>
      <xdr:rowOff>95250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786" t="15000" r="4132"/>
        <a:stretch/>
      </xdr:blipFill>
      <xdr:spPr>
        <a:xfrm>
          <a:off x="10318750" y="687917"/>
          <a:ext cx="958453" cy="96308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0</xdr:row>
      <xdr:rowOff>0</xdr:rowOff>
    </xdr:from>
    <xdr:to>
      <xdr:col>2</xdr:col>
      <xdr:colOff>47625</xdr:colOff>
      <xdr:row>3</xdr:row>
      <xdr:rowOff>152400</xdr:rowOff>
    </xdr:to>
    <xdr:pic macro="[0]!DIAGNOSTICO">
      <xdr:nvPicPr>
        <xdr:cNvPr id="9" name="8 Imagen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51" t="12675" r="4132" b="5164"/>
        <a:stretch/>
      </xdr:blipFill>
      <xdr:spPr>
        <a:xfrm>
          <a:off x="28575" y="0"/>
          <a:ext cx="609600" cy="704850"/>
        </a:xfrm>
        <a:prstGeom prst="ellipse">
          <a:avLst/>
        </a:prstGeom>
        <a:ln w="28575" cap="rnd">
          <a:solidFill>
            <a:srgbClr val="0070C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1</xdr:col>
      <xdr:colOff>0</xdr:colOff>
      <xdr:row>10</xdr:row>
      <xdr:rowOff>8272</xdr:rowOff>
    </xdr:from>
    <xdr:to>
      <xdr:col>10</xdr:col>
      <xdr:colOff>676275</xdr:colOff>
      <xdr:row>26</xdr:row>
      <xdr:rowOff>0</xdr:rowOff>
    </xdr:to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</xdr:col>
      <xdr:colOff>19048</xdr:colOff>
      <xdr:row>26</xdr:row>
      <xdr:rowOff>90487</xdr:rowOff>
    </xdr:from>
    <xdr:to>
      <xdr:col>10</xdr:col>
      <xdr:colOff>695325</xdr:colOff>
      <xdr:row>41</xdr:row>
      <xdr:rowOff>57150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1</xdr:col>
      <xdr:colOff>39101</xdr:colOff>
      <xdr:row>42</xdr:row>
      <xdr:rowOff>52386</xdr:rowOff>
    </xdr:from>
    <xdr:to>
      <xdr:col>17</xdr:col>
      <xdr:colOff>685799</xdr:colOff>
      <xdr:row>60</xdr:row>
      <xdr:rowOff>4009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80964</xdr:colOff>
      <xdr:row>1</xdr:row>
      <xdr:rowOff>348627</xdr:rowOff>
    </xdr:from>
    <xdr:to>
      <xdr:col>19</xdr:col>
      <xdr:colOff>442914</xdr:colOff>
      <xdr:row>9</xdr:row>
      <xdr:rowOff>170655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42120" y="455783"/>
          <a:ext cx="1838325" cy="1679403"/>
        </a:xfrm>
        <a:prstGeom prst="rect">
          <a:avLst/>
        </a:prstGeom>
      </xdr:spPr>
    </xdr:pic>
    <xdr:clientData/>
  </xdr:twoCellAnchor>
  <xdr:twoCellAnchor>
    <xdr:from>
      <xdr:col>12</xdr:col>
      <xdr:colOff>457200</xdr:colOff>
      <xdr:row>5</xdr:row>
      <xdr:rowOff>152398</xdr:rowOff>
    </xdr:from>
    <xdr:to>
      <xdr:col>15</xdr:col>
      <xdr:colOff>76199</xdr:colOff>
      <xdr:row>10</xdr:row>
      <xdr:rowOff>66674</xdr:rowOff>
    </xdr:to>
    <xdr:sp macro="" textlink="">
      <xdr:nvSpPr>
        <xdr:cNvPr id="10" name="9 Rectángulo redondeado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9963150" y="1076323"/>
          <a:ext cx="1790699" cy="723901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 baseline="0">
              <a:solidFill>
                <a:schemeClr val="accent1">
                  <a:lumMod val="50000"/>
                </a:schemeClr>
              </a:solidFill>
              <a:latin typeface="Arial Narrow" pitchFamily="34" charset="0"/>
            </a:rPr>
            <a:t>CONSOLIDADO DEL </a:t>
          </a:r>
          <a:r>
            <a:rPr lang="es-CO" sz="1100" b="1" u="none" baseline="0">
              <a:solidFill>
                <a:schemeClr val="accent1">
                  <a:lumMod val="50000"/>
                </a:schemeClr>
              </a:solidFill>
              <a:latin typeface="Arial Narrow" pitchFamily="34" charset="0"/>
            </a:rPr>
            <a:t>DIAGNÓSTICO</a:t>
          </a:r>
          <a:endParaRPr lang="es-CO" sz="1100" b="1" u="none">
            <a:solidFill>
              <a:schemeClr val="accent1">
                <a:lumMod val="50000"/>
              </a:schemeClr>
            </a:solidFill>
            <a:latin typeface="Arial Narrow" pitchFamily="34" charset="0"/>
          </a:endParaRPr>
        </a:p>
      </xdr:txBody>
    </xdr:sp>
    <xdr:clientData/>
  </xdr:twoCellAnchor>
  <xdr:twoCellAnchor editAs="oneCell">
    <xdr:from>
      <xdr:col>14</xdr:col>
      <xdr:colOff>466725</xdr:colOff>
      <xdr:row>6</xdr:row>
      <xdr:rowOff>9525</xdr:rowOff>
    </xdr:from>
    <xdr:to>
      <xdr:col>15</xdr:col>
      <xdr:colOff>552451</xdr:colOff>
      <xdr:row>9</xdr:row>
      <xdr:rowOff>31750</xdr:rowOff>
    </xdr:to>
    <xdr:pic macro="[0]!ABRECONSOLIDADO">
      <xdr:nvPicPr>
        <xdr:cNvPr id="9" name="8 Imagen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20475" y="1095375"/>
          <a:ext cx="809625" cy="717550"/>
        </a:xfrm>
        <a:prstGeom prst="ellipse">
          <a:avLst/>
        </a:prstGeom>
        <a:ln w="28575" cap="rnd">
          <a:solidFill>
            <a:schemeClr val="accent1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 fLocksWithSheet="0"/>
  </xdr:twoCellAnchor>
  <xdr:twoCellAnchor editAs="oneCell">
    <xdr:from>
      <xdr:col>1</xdr:col>
      <xdr:colOff>142876</xdr:colOff>
      <xdr:row>1</xdr:row>
      <xdr:rowOff>3631</xdr:rowOff>
    </xdr:from>
    <xdr:to>
      <xdr:col>2</xdr:col>
      <xdr:colOff>1502568</xdr:colOff>
      <xdr:row>7</xdr:row>
      <xdr:rowOff>89694</xdr:rowOff>
    </xdr:to>
    <xdr:pic>
      <xdr:nvPicPr>
        <xdr:cNvPr id="4" name="3 Imagen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1" y="108406"/>
          <a:ext cx="1695449" cy="1564819"/>
        </a:xfrm>
        <a:prstGeom prst="rect">
          <a:avLst/>
        </a:prstGeom>
      </xdr:spPr>
    </xdr:pic>
    <xdr:clientData/>
  </xdr:twoCellAnchor>
  <xdr:twoCellAnchor editAs="oneCell">
    <xdr:from>
      <xdr:col>16</xdr:col>
      <xdr:colOff>85725</xdr:colOff>
      <xdr:row>0</xdr:row>
      <xdr:rowOff>0</xdr:rowOff>
    </xdr:from>
    <xdr:to>
      <xdr:col>17</xdr:col>
      <xdr:colOff>704850</xdr:colOff>
      <xdr:row>4</xdr:row>
      <xdr:rowOff>37041</xdr:rowOff>
    </xdr:to>
    <xdr:pic macro="[0]!Volvermenu"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0"/>
          <a:ext cx="762000" cy="770466"/>
        </a:xfrm>
        <a:prstGeom prst="rect">
          <a:avLst/>
        </a:prstGeom>
      </xdr:spPr>
    </xdr:pic>
    <xdr:clientData/>
  </xdr:twoCellAnchor>
  <xdr:twoCellAnchor>
    <xdr:from>
      <xdr:col>14</xdr:col>
      <xdr:colOff>542925</xdr:colOff>
      <xdr:row>2</xdr:row>
      <xdr:rowOff>47625</xdr:rowOff>
    </xdr:from>
    <xdr:to>
      <xdr:col>15</xdr:col>
      <xdr:colOff>28575</xdr:colOff>
      <xdr:row>3</xdr:row>
      <xdr:rowOff>171450</xdr:rowOff>
    </xdr:to>
    <xdr:sp macro="" textlink="">
      <xdr:nvSpPr>
        <xdr:cNvPr id="5" name="4 Rectángul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1410950" y="371475"/>
          <a:ext cx="361950" cy="209550"/>
        </a:xfrm>
        <a:prstGeom prst="rect">
          <a:avLst/>
        </a:prstGeom>
        <a:solidFill>
          <a:schemeClr val="accent3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14</xdr:col>
      <xdr:colOff>542925</xdr:colOff>
      <xdr:row>4</xdr:row>
      <xdr:rowOff>0</xdr:rowOff>
    </xdr:from>
    <xdr:to>
      <xdr:col>15</xdr:col>
      <xdr:colOff>28575</xdr:colOff>
      <xdr:row>5</xdr:row>
      <xdr:rowOff>9525</xdr:rowOff>
    </xdr:to>
    <xdr:sp macro="" textlink="">
      <xdr:nvSpPr>
        <xdr:cNvPr id="8" name="7 Rectángul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1410950" y="600075"/>
          <a:ext cx="361950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11</xdr:col>
      <xdr:colOff>57150</xdr:colOff>
      <xdr:row>11</xdr:row>
      <xdr:rowOff>90487</xdr:rowOff>
    </xdr:from>
    <xdr:to>
      <xdr:col>16</xdr:col>
      <xdr:colOff>9525</xdr:colOff>
      <xdr:row>20</xdr:row>
      <xdr:rowOff>147637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28574</xdr:colOff>
      <xdr:row>22</xdr:row>
      <xdr:rowOff>61911</xdr:rowOff>
    </xdr:from>
    <xdr:to>
      <xdr:col>15</xdr:col>
      <xdr:colOff>847724</xdr:colOff>
      <xdr:row>33</xdr:row>
      <xdr:rowOff>266699</xdr:rowOff>
    </xdr:to>
    <xdr:graphicFrame macro="">
      <xdr:nvGraphicFramePr>
        <xdr:cNvPr id="11" name="10 Gráfico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76199</xdr:colOff>
      <xdr:row>36</xdr:row>
      <xdr:rowOff>4762</xdr:rowOff>
    </xdr:from>
    <xdr:to>
      <xdr:col>15</xdr:col>
      <xdr:colOff>923924</xdr:colOff>
      <xdr:row>45</xdr:row>
      <xdr:rowOff>28575</xdr:rowOff>
    </xdr:to>
    <xdr:graphicFrame macro="">
      <xdr:nvGraphicFramePr>
        <xdr:cNvPr id="12" name="11 Gráfico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47625</xdr:colOff>
      <xdr:row>46</xdr:row>
      <xdr:rowOff>195262</xdr:rowOff>
    </xdr:from>
    <xdr:to>
      <xdr:col>16</xdr:col>
      <xdr:colOff>0</xdr:colOff>
      <xdr:row>55</xdr:row>
      <xdr:rowOff>180975</xdr:rowOff>
    </xdr:to>
    <xdr:graphicFrame macro="">
      <xdr:nvGraphicFramePr>
        <xdr:cNvPr id="13" name="12 Gráfico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28574</xdr:colOff>
      <xdr:row>58</xdr:row>
      <xdr:rowOff>195262</xdr:rowOff>
    </xdr:from>
    <xdr:to>
      <xdr:col>16</xdr:col>
      <xdr:colOff>47624</xdr:colOff>
      <xdr:row>67</xdr:row>
      <xdr:rowOff>200025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695324</xdr:colOff>
      <xdr:row>0</xdr:row>
      <xdr:rowOff>0</xdr:rowOff>
    </xdr:from>
    <xdr:to>
      <xdr:col>9</xdr:col>
      <xdr:colOff>114299</xdr:colOff>
      <xdr:row>4</xdr:row>
      <xdr:rowOff>114300</xdr:rowOff>
    </xdr:to>
    <xdr:pic macro="[0]!IRMENUDESDEPROCESO">
      <xdr:nvPicPr>
        <xdr:cNvPr id="5" name="4 Imagen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4" y="0"/>
          <a:ext cx="733425" cy="704850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1</xdr:row>
      <xdr:rowOff>47625</xdr:rowOff>
    </xdr:from>
    <xdr:to>
      <xdr:col>12</xdr:col>
      <xdr:colOff>571500</xdr:colOff>
      <xdr:row>10</xdr:row>
      <xdr:rowOff>114300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201" t="13986" r="7600" b="10842"/>
        <a:stretch/>
      </xdr:blipFill>
      <xdr:spPr>
        <a:xfrm>
          <a:off x="7858125" y="152400"/>
          <a:ext cx="2552700" cy="1752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T29"/>
  <sheetViews>
    <sheetView showGridLines="0" showRowColHeaders="0" zoomScale="114" zoomScaleNormal="114" workbookViewId="0">
      <selection activeCell="F2" sqref="F2:L6"/>
    </sheetView>
  </sheetViews>
  <sheetFormatPr baseColWidth="10" defaultRowHeight="15" x14ac:dyDescent="0.25"/>
  <cols>
    <col min="1" max="1" width="2.28515625" customWidth="1"/>
    <col min="2" max="4" width="10.7109375" customWidth="1"/>
    <col min="5" max="5" width="5.7109375" customWidth="1"/>
    <col min="6" max="12" width="8.7109375" customWidth="1"/>
    <col min="13" max="13" width="5.7109375" customWidth="1"/>
    <col min="14" max="16" width="10.7109375" customWidth="1"/>
    <col min="17" max="17" width="2.85546875" customWidth="1"/>
    <col min="18" max="20" width="10.42578125" customWidth="1"/>
  </cols>
  <sheetData>
    <row r="1" spans="2:20" ht="9.75" customHeight="1" thickBot="1" x14ac:dyDescent="0.3"/>
    <row r="2" spans="2:20" ht="20.25" customHeight="1" x14ac:dyDescent="0.25">
      <c r="F2" s="109" t="s">
        <v>142</v>
      </c>
      <c r="G2" s="110"/>
      <c r="H2" s="110"/>
      <c r="I2" s="110"/>
      <c r="J2" s="110"/>
      <c r="K2" s="110"/>
      <c r="L2" s="111"/>
    </row>
    <row r="3" spans="2:20" ht="20.25" customHeight="1" thickBot="1" x14ac:dyDescent="0.3">
      <c r="F3" s="112"/>
      <c r="G3" s="113"/>
      <c r="H3" s="113"/>
      <c r="I3" s="113"/>
      <c r="J3" s="113"/>
      <c r="K3" s="113"/>
      <c r="L3" s="114"/>
    </row>
    <row r="4" spans="2:20" ht="3" customHeight="1" x14ac:dyDescent="0.25">
      <c r="F4" s="5"/>
      <c r="G4" s="5"/>
      <c r="H4" s="5"/>
      <c r="I4" s="5"/>
      <c r="J4" s="5"/>
      <c r="K4" s="5"/>
      <c r="L4" s="5"/>
    </row>
    <row r="5" spans="2:20" ht="16.5" customHeight="1" thickBot="1" x14ac:dyDescent="0.3">
      <c r="F5" s="116" t="s">
        <v>24</v>
      </c>
      <c r="G5" s="116"/>
      <c r="H5" s="116"/>
      <c r="I5" s="116"/>
      <c r="J5" s="116"/>
      <c r="K5" s="116"/>
      <c r="L5" s="116"/>
      <c r="M5" s="18"/>
      <c r="N5" s="18"/>
      <c r="O5" s="18"/>
      <c r="P5" s="18"/>
    </row>
    <row r="6" spans="2:20" ht="16.5" customHeight="1" x14ac:dyDescent="0.25">
      <c r="B6" s="88"/>
      <c r="C6" s="89"/>
      <c r="D6" s="90"/>
      <c r="F6" s="116"/>
      <c r="G6" s="116"/>
      <c r="H6" s="116"/>
      <c r="I6" s="116"/>
      <c r="J6" s="116"/>
      <c r="K6" s="116"/>
      <c r="L6" s="116"/>
      <c r="M6" s="18"/>
      <c r="N6" s="100"/>
      <c r="O6" s="101"/>
      <c r="P6" s="102"/>
    </row>
    <row r="7" spans="2:20" ht="9.75" customHeight="1" x14ac:dyDescent="0.25">
      <c r="B7" s="91"/>
      <c r="C7" s="92"/>
      <c r="D7" s="93"/>
      <c r="F7" s="46"/>
      <c r="G7" s="46"/>
      <c r="H7" s="46"/>
      <c r="I7" s="46"/>
      <c r="J7" s="46"/>
      <c r="K7" s="46"/>
      <c r="L7" s="46"/>
      <c r="M7" s="18"/>
      <c r="N7" s="103"/>
      <c r="O7" s="104"/>
      <c r="P7" s="105"/>
    </row>
    <row r="8" spans="2:20" ht="15" customHeight="1" x14ac:dyDescent="0.25">
      <c r="B8" s="91"/>
      <c r="C8" s="92"/>
      <c r="D8" s="93"/>
      <c r="F8" s="86" t="s">
        <v>18</v>
      </c>
      <c r="G8" s="86"/>
      <c r="H8" s="86"/>
      <c r="I8" s="86"/>
      <c r="J8" s="86"/>
      <c r="K8" s="86"/>
      <c r="L8" s="86"/>
      <c r="M8" s="18"/>
      <c r="N8" s="103"/>
      <c r="O8" s="104"/>
      <c r="P8" s="105"/>
    </row>
    <row r="9" spans="2:20" ht="15" customHeight="1" x14ac:dyDescent="0.25">
      <c r="B9" s="91"/>
      <c r="C9" s="92"/>
      <c r="D9" s="93"/>
      <c r="F9" s="87" t="s">
        <v>19</v>
      </c>
      <c r="G9" s="87"/>
      <c r="H9" s="87"/>
      <c r="I9" s="87"/>
      <c r="J9" s="87"/>
      <c r="K9" s="87"/>
      <c r="L9" s="87"/>
      <c r="M9" s="18"/>
      <c r="N9" s="103"/>
      <c r="O9" s="104"/>
      <c r="P9" s="105"/>
    </row>
    <row r="10" spans="2:20" ht="15" customHeight="1" x14ac:dyDescent="0.25">
      <c r="B10" s="91"/>
      <c r="C10" s="92"/>
      <c r="D10" s="93"/>
      <c r="F10" s="87" t="s">
        <v>20</v>
      </c>
      <c r="G10" s="87"/>
      <c r="H10" s="87"/>
      <c r="I10" s="87"/>
      <c r="J10" s="87"/>
      <c r="K10" s="87"/>
      <c r="L10" s="87"/>
      <c r="M10" s="18"/>
      <c r="N10" s="103"/>
      <c r="O10" s="104"/>
      <c r="P10" s="105"/>
    </row>
    <row r="11" spans="2:20" ht="15" customHeight="1" x14ac:dyDescent="0.25">
      <c r="B11" s="91"/>
      <c r="C11" s="92"/>
      <c r="D11" s="93"/>
      <c r="F11" s="87" t="s">
        <v>21</v>
      </c>
      <c r="G11" s="87"/>
      <c r="H11" s="87"/>
      <c r="I11" s="87"/>
      <c r="J11" s="87"/>
      <c r="K11" s="87"/>
      <c r="L11" s="87"/>
      <c r="M11" s="18"/>
      <c r="N11" s="103"/>
      <c r="O11" s="104"/>
      <c r="P11" s="105"/>
    </row>
    <row r="12" spans="2:20" ht="15" customHeight="1" x14ac:dyDescent="0.25">
      <c r="B12" s="91"/>
      <c r="C12" s="92"/>
      <c r="D12" s="93"/>
      <c r="F12" s="87" t="s">
        <v>22</v>
      </c>
      <c r="G12" s="87"/>
      <c r="H12" s="87"/>
      <c r="I12" s="87"/>
      <c r="J12" s="87"/>
      <c r="K12" s="87"/>
      <c r="L12" s="87"/>
      <c r="M12" s="18"/>
      <c r="N12" s="103"/>
      <c r="O12" s="104"/>
      <c r="P12" s="105"/>
    </row>
    <row r="13" spans="2:20" ht="15" customHeight="1" x14ac:dyDescent="0.3">
      <c r="B13" s="91"/>
      <c r="C13" s="92"/>
      <c r="D13" s="93"/>
      <c r="E13" s="1"/>
      <c r="F13" s="87" t="s">
        <v>23</v>
      </c>
      <c r="G13" s="87"/>
      <c r="H13" s="87"/>
      <c r="I13" s="87"/>
      <c r="J13" s="87"/>
      <c r="K13" s="87"/>
      <c r="L13" s="87"/>
      <c r="M13" s="47"/>
      <c r="N13" s="103"/>
      <c r="O13" s="104"/>
      <c r="P13" s="105"/>
    </row>
    <row r="14" spans="2:20" ht="6.75" customHeight="1" thickBot="1" x14ac:dyDescent="0.3">
      <c r="B14" s="94"/>
      <c r="C14" s="95"/>
      <c r="D14" s="96"/>
      <c r="E14" s="2"/>
      <c r="F14" s="99"/>
      <c r="G14" s="99"/>
      <c r="H14" s="99"/>
      <c r="I14" s="99"/>
      <c r="J14" s="99"/>
      <c r="K14" s="99"/>
      <c r="L14" s="99"/>
      <c r="M14" s="48"/>
      <c r="N14" s="106"/>
      <c r="O14" s="107"/>
      <c r="P14" s="108"/>
    </row>
    <row r="15" spans="2:20" ht="7.5" customHeight="1" x14ac:dyDescent="0.3">
      <c r="E15" s="4"/>
      <c r="F15" s="99"/>
      <c r="G15" s="99"/>
      <c r="H15" s="99"/>
      <c r="I15" s="99"/>
      <c r="J15" s="99"/>
      <c r="K15" s="99"/>
      <c r="L15" s="99"/>
      <c r="M15" s="48"/>
      <c r="N15" s="18"/>
      <c r="O15" s="49"/>
      <c r="P15" s="49"/>
      <c r="Q15" s="7"/>
      <c r="R15" s="7"/>
      <c r="S15" s="7"/>
      <c r="T15" s="7"/>
    </row>
    <row r="16" spans="2:20" ht="14.25" customHeight="1" x14ac:dyDescent="0.25">
      <c r="E16" s="4"/>
      <c r="F16" s="98" t="s">
        <v>126</v>
      </c>
      <c r="G16" s="98"/>
      <c r="H16" s="98"/>
      <c r="I16" s="98"/>
      <c r="J16" s="98"/>
      <c r="K16" s="98"/>
      <c r="L16" s="98"/>
      <c r="M16" s="48"/>
      <c r="N16" s="97" t="s">
        <v>16</v>
      </c>
      <c r="O16" s="97"/>
      <c r="P16" s="97"/>
    </row>
    <row r="17" spans="5:20" ht="14.25" customHeight="1" x14ac:dyDescent="0.3">
      <c r="E17" s="4"/>
      <c r="F17" s="50"/>
      <c r="G17" s="50"/>
      <c r="H17" s="98" t="s">
        <v>25</v>
      </c>
      <c r="I17" s="98"/>
      <c r="J17" s="98"/>
      <c r="K17" s="50"/>
      <c r="L17" s="50"/>
      <c r="M17" s="48"/>
      <c r="N17" s="97" t="s">
        <v>17</v>
      </c>
      <c r="O17" s="97"/>
      <c r="P17" s="97"/>
      <c r="Q17" s="7"/>
      <c r="R17" s="7"/>
      <c r="S17" s="7"/>
      <c r="T17" s="7"/>
    </row>
    <row r="18" spans="5:20" ht="15" customHeight="1" x14ac:dyDescent="0.3">
      <c r="E18" s="4"/>
      <c r="F18" s="50"/>
      <c r="G18" s="50"/>
      <c r="H18" s="98" t="s">
        <v>26</v>
      </c>
      <c r="I18" s="98"/>
      <c r="J18" s="98"/>
      <c r="K18" s="50"/>
      <c r="L18" s="50"/>
      <c r="M18" s="48"/>
      <c r="N18" s="18"/>
      <c r="O18" s="18"/>
      <c r="P18" s="18"/>
      <c r="Q18" s="6"/>
      <c r="R18" s="6"/>
      <c r="S18" s="6"/>
      <c r="T18" s="6"/>
    </row>
    <row r="19" spans="5:20" ht="15" customHeight="1" x14ac:dyDescent="0.25">
      <c r="E19" s="3"/>
      <c r="F19" s="115"/>
      <c r="G19" s="115"/>
      <c r="H19" s="115"/>
      <c r="I19" s="115"/>
      <c r="J19" s="115"/>
      <c r="K19" s="115"/>
      <c r="L19" s="115"/>
      <c r="M19" s="48"/>
      <c r="N19" s="18"/>
      <c r="O19" s="18"/>
      <c r="P19" s="18"/>
    </row>
    <row r="20" spans="5:20" x14ac:dyDescent="0.25">
      <c r="F20" s="99" t="s">
        <v>27</v>
      </c>
      <c r="G20" s="99"/>
      <c r="H20" s="99"/>
      <c r="I20" s="99"/>
      <c r="J20" s="99"/>
      <c r="K20" s="99"/>
      <c r="L20" s="99"/>
      <c r="M20" s="18"/>
      <c r="N20" s="18"/>
      <c r="O20" s="18"/>
      <c r="P20" s="18"/>
    </row>
    <row r="21" spans="5:20" x14ac:dyDescent="0.25">
      <c r="F21" s="51"/>
      <c r="G21" s="51"/>
      <c r="H21" s="51"/>
      <c r="I21" s="51"/>
      <c r="J21" s="51"/>
      <c r="K21" s="51"/>
      <c r="L21" s="51"/>
      <c r="M21" s="18"/>
      <c r="N21" s="18"/>
      <c r="O21" s="18"/>
      <c r="P21" s="18"/>
    </row>
    <row r="22" spans="5:20" ht="18" x14ac:dyDescent="0.25">
      <c r="F22" s="51"/>
      <c r="G22" s="86" t="s">
        <v>143</v>
      </c>
      <c r="H22" s="86"/>
      <c r="I22" s="86"/>
      <c r="J22" s="86"/>
      <c r="K22" s="86"/>
      <c r="L22" s="51"/>
      <c r="M22" s="18"/>
      <c r="N22" s="18"/>
      <c r="O22" s="18"/>
      <c r="P22" s="18"/>
    </row>
    <row r="23" spans="5:20" ht="6" customHeight="1" x14ac:dyDescent="0.25">
      <c r="F23" s="51"/>
      <c r="G23" s="51"/>
      <c r="H23" s="51"/>
      <c r="I23" s="51"/>
      <c r="J23" s="51"/>
      <c r="K23" s="51"/>
      <c r="L23" s="51"/>
      <c r="M23" s="18"/>
      <c r="N23" s="18"/>
      <c r="O23" s="18"/>
      <c r="P23" s="18"/>
    </row>
    <row r="24" spans="5:20" ht="15.75" x14ac:dyDescent="0.25">
      <c r="F24" s="51"/>
      <c r="G24" s="87" t="s">
        <v>124</v>
      </c>
      <c r="H24" s="87"/>
      <c r="I24" s="87"/>
      <c r="J24" s="87"/>
      <c r="K24" s="87"/>
      <c r="L24" s="51"/>
      <c r="M24" s="18"/>
      <c r="N24" s="18"/>
      <c r="O24" s="18"/>
      <c r="P24" s="18"/>
    </row>
    <row r="25" spans="5:20" ht="15.75" x14ac:dyDescent="0.25">
      <c r="F25" s="51"/>
      <c r="G25" s="87" t="s">
        <v>125</v>
      </c>
      <c r="H25" s="87"/>
      <c r="I25" s="87"/>
      <c r="J25" s="87"/>
      <c r="K25" s="87"/>
      <c r="L25" s="51"/>
      <c r="M25" s="18"/>
      <c r="N25" s="18"/>
      <c r="O25" s="18"/>
      <c r="P25" s="18"/>
    </row>
    <row r="26" spans="5:20" x14ac:dyDescent="0.25">
      <c r="F26" s="52"/>
      <c r="G26" s="52"/>
      <c r="H26" s="52"/>
      <c r="I26" s="52"/>
      <c r="J26" s="52"/>
      <c r="K26" s="52"/>
      <c r="L26" s="52"/>
      <c r="M26" s="18"/>
      <c r="N26" s="18"/>
      <c r="O26" s="18"/>
      <c r="P26" s="18"/>
    </row>
    <row r="27" spans="5:20" ht="6.75" customHeight="1" x14ac:dyDescent="0.25">
      <c r="F27" s="52"/>
      <c r="G27" s="52"/>
      <c r="H27" s="52"/>
      <c r="I27" s="52"/>
      <c r="J27" s="52"/>
      <c r="K27" s="52"/>
      <c r="L27" s="52"/>
      <c r="M27" s="18"/>
      <c r="N27" s="18"/>
      <c r="O27" s="18"/>
      <c r="P27" s="18"/>
    </row>
    <row r="28" spans="5:20" x14ac:dyDescent="0.25"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</row>
    <row r="29" spans="5:20" x14ac:dyDescent="0.25"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</sheetData>
  <sheetProtection selectLockedCells="1"/>
  <mergeCells count="22">
    <mergeCell ref="F2:L3"/>
    <mergeCell ref="F14:L14"/>
    <mergeCell ref="F19:L19"/>
    <mergeCell ref="F9:L9"/>
    <mergeCell ref="F8:L8"/>
    <mergeCell ref="F13:L13"/>
    <mergeCell ref="F15:L15"/>
    <mergeCell ref="F16:L16"/>
    <mergeCell ref="F5:L6"/>
    <mergeCell ref="F11:L11"/>
    <mergeCell ref="F12:L12"/>
    <mergeCell ref="F10:L10"/>
    <mergeCell ref="G22:K22"/>
    <mergeCell ref="G24:K24"/>
    <mergeCell ref="G25:K25"/>
    <mergeCell ref="B6:D14"/>
    <mergeCell ref="N17:P17"/>
    <mergeCell ref="H17:J17"/>
    <mergeCell ref="H18:J18"/>
    <mergeCell ref="N16:P16"/>
    <mergeCell ref="F20:L20"/>
    <mergeCell ref="N6:P14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B1:R41"/>
  <sheetViews>
    <sheetView showGridLines="0" zoomScale="90" zoomScaleNormal="90" workbookViewId="0">
      <selection activeCell="C2" sqref="B2:M9"/>
    </sheetView>
  </sheetViews>
  <sheetFormatPr baseColWidth="10" defaultRowHeight="14.25" x14ac:dyDescent="0.2"/>
  <cols>
    <col min="1" max="1" width="2" style="18" customWidth="1"/>
    <col min="2" max="7" width="6.85546875" style="18" customWidth="1"/>
    <col min="8" max="8" width="3.5703125" style="18" customWidth="1"/>
    <col min="9" max="9" width="35.7109375" style="18" customWidth="1"/>
    <col min="10" max="10" width="13.7109375" style="18" customWidth="1"/>
    <col min="11" max="11" width="15.28515625" style="18" customWidth="1"/>
    <col min="12" max="12" width="13.7109375" style="18" customWidth="1"/>
    <col min="13" max="13" width="12.5703125" style="18" customWidth="1"/>
    <col min="14" max="14" width="3.85546875" style="18" customWidth="1"/>
    <col min="15" max="15" width="10.28515625" style="18" customWidth="1"/>
    <col min="16" max="16384" width="11.42578125" style="18"/>
  </cols>
  <sheetData>
    <row r="1" spans="2:18" ht="8.25" customHeight="1" thickBot="1" x14ac:dyDescent="0.25"/>
    <row r="2" spans="2:18" ht="23.25" customHeight="1" thickBot="1" x14ac:dyDescent="0.3">
      <c r="B2" s="53"/>
      <c r="C2" s="120" t="s">
        <v>11</v>
      </c>
      <c r="D2" s="121"/>
      <c r="E2" s="121"/>
      <c r="F2" s="121"/>
      <c r="G2" s="122"/>
      <c r="I2" s="117" t="s">
        <v>30</v>
      </c>
      <c r="J2" s="118"/>
      <c r="K2" s="118"/>
      <c r="L2" s="118"/>
      <c r="M2" s="119"/>
      <c r="O2" s="120" t="s">
        <v>10</v>
      </c>
      <c r="P2" s="121"/>
      <c r="Q2" s="121"/>
      <c r="R2" s="122"/>
    </row>
    <row r="3" spans="2:18" ht="12" customHeight="1" thickBot="1" x14ac:dyDescent="0.25">
      <c r="B3" s="123"/>
      <c r="C3" s="124"/>
      <c r="D3" s="124"/>
      <c r="E3" s="124"/>
      <c r="F3" s="124"/>
      <c r="G3" s="125"/>
      <c r="O3" s="132"/>
      <c r="P3" s="133"/>
      <c r="Q3" s="133"/>
      <c r="R3" s="134"/>
    </row>
    <row r="4" spans="2:18" ht="15.75" customHeight="1" thickBot="1" x14ac:dyDescent="0.3">
      <c r="B4" s="123"/>
      <c r="C4" s="124"/>
      <c r="D4" s="124"/>
      <c r="E4" s="124"/>
      <c r="F4" s="124"/>
      <c r="G4" s="125"/>
      <c r="I4" s="54" t="s">
        <v>111</v>
      </c>
      <c r="J4" s="60" t="s">
        <v>8</v>
      </c>
      <c r="K4" s="59" t="s">
        <v>144</v>
      </c>
      <c r="L4" s="55" t="s">
        <v>113</v>
      </c>
      <c r="M4" s="56" t="s">
        <v>9</v>
      </c>
      <c r="O4" s="135"/>
      <c r="P4" s="136"/>
      <c r="Q4" s="136"/>
      <c r="R4" s="137"/>
    </row>
    <row r="5" spans="2:18" ht="15.75" customHeight="1" x14ac:dyDescent="0.25">
      <c r="B5" s="123"/>
      <c r="C5" s="124"/>
      <c r="D5" s="124"/>
      <c r="E5" s="124"/>
      <c r="F5" s="124"/>
      <c r="G5" s="125"/>
      <c r="I5" s="79" t="str">
        <f>DIAGNOSTICO!$B$13</f>
        <v>DIRECCIÓN</v>
      </c>
      <c r="J5" s="58">
        <f>DIAGNOSTICO!H21</f>
        <v>0</v>
      </c>
      <c r="K5" s="57">
        <f t="shared" ref="K5:K9" si="0">J5/5</f>
        <v>0</v>
      </c>
      <c r="L5" s="36" t="str">
        <f t="shared" ref="L5:L9" si="1">IF(K5&lt;60%,"DEBILIDAD","FORTALEZA")</f>
        <v>DEBILIDAD</v>
      </c>
      <c r="M5" s="58">
        <f>DIAGNOSTICO!I21</f>
        <v>0</v>
      </c>
      <c r="O5" s="135"/>
      <c r="P5" s="136"/>
      <c r="Q5" s="136"/>
      <c r="R5" s="137"/>
    </row>
    <row r="6" spans="2:18" ht="15.75" customHeight="1" x14ac:dyDescent="0.25">
      <c r="B6" s="123"/>
      <c r="C6" s="124"/>
      <c r="D6" s="124"/>
      <c r="E6" s="124"/>
      <c r="F6" s="124"/>
      <c r="G6" s="125"/>
      <c r="I6" s="79" t="str">
        <f>DIAGNOSTICO!$B$23</f>
        <v>MERCADEO Y VENTAS</v>
      </c>
      <c r="J6" s="58">
        <f>DIAGNOSTICO!H35</f>
        <v>0</v>
      </c>
      <c r="K6" s="57">
        <f t="shared" si="0"/>
        <v>0</v>
      </c>
      <c r="L6" s="35" t="str">
        <f t="shared" si="1"/>
        <v>DEBILIDAD</v>
      </c>
      <c r="M6" s="58">
        <f>DIAGNOSTICO!I35</f>
        <v>0</v>
      </c>
      <c r="O6" s="135"/>
      <c r="P6" s="136"/>
      <c r="Q6" s="136"/>
      <c r="R6" s="137"/>
    </row>
    <row r="7" spans="2:18" ht="15.75" customHeight="1" x14ac:dyDescent="0.25">
      <c r="B7" s="123"/>
      <c r="C7" s="124"/>
      <c r="D7" s="124"/>
      <c r="E7" s="124"/>
      <c r="F7" s="124"/>
      <c r="G7" s="125"/>
      <c r="I7" s="79" t="str">
        <f>DIAGNOSTICO!$B$37</f>
        <v>TALENTO HUMANO</v>
      </c>
      <c r="J7" s="58">
        <f>DIAGNOSTICO!H45</f>
        <v>0</v>
      </c>
      <c r="K7" s="57">
        <f t="shared" si="0"/>
        <v>0</v>
      </c>
      <c r="L7" s="36" t="str">
        <f t="shared" si="1"/>
        <v>DEBILIDAD</v>
      </c>
      <c r="M7" s="58">
        <f>DIAGNOSTICO!I45</f>
        <v>0</v>
      </c>
      <c r="O7" s="135"/>
      <c r="P7" s="136"/>
      <c r="Q7" s="136"/>
      <c r="R7" s="137"/>
    </row>
    <row r="8" spans="2:18" ht="15.75" customHeight="1" x14ac:dyDescent="0.25">
      <c r="B8" s="123"/>
      <c r="C8" s="124"/>
      <c r="D8" s="124"/>
      <c r="E8" s="124"/>
      <c r="F8" s="124"/>
      <c r="G8" s="125"/>
      <c r="I8" s="79" t="str">
        <f>DIAGNOSTICO!$B$47</f>
        <v>OPERACIÓN</v>
      </c>
      <c r="J8" s="58">
        <f>DIAGNOSTICO!H57</f>
        <v>0</v>
      </c>
      <c r="K8" s="57">
        <f t="shared" si="0"/>
        <v>0</v>
      </c>
      <c r="L8" s="35" t="str">
        <f t="shared" si="1"/>
        <v>DEBILIDAD</v>
      </c>
      <c r="M8" s="58">
        <f>DIAGNOSTICO!I57</f>
        <v>0</v>
      </c>
      <c r="O8" s="135"/>
      <c r="P8" s="136"/>
      <c r="Q8" s="136"/>
      <c r="R8" s="137"/>
    </row>
    <row r="9" spans="2:18" ht="15.75" customHeight="1" x14ac:dyDescent="0.25">
      <c r="B9" s="123"/>
      <c r="C9" s="124"/>
      <c r="D9" s="124"/>
      <c r="E9" s="124"/>
      <c r="F9" s="124"/>
      <c r="G9" s="125"/>
      <c r="I9" s="79" t="str">
        <f>DIAGNOSTICO!$B$59</f>
        <v>FINANZAS/ CONTABILIDAD</v>
      </c>
      <c r="J9" s="58">
        <f>DIAGNOSTICO!H69</f>
        <v>0</v>
      </c>
      <c r="K9" s="57">
        <f t="shared" si="0"/>
        <v>0</v>
      </c>
      <c r="L9" s="36" t="str">
        <f t="shared" si="1"/>
        <v>DEBILIDAD</v>
      </c>
      <c r="M9" s="58">
        <f>DIAGNOSTICO!I69</f>
        <v>0</v>
      </c>
      <c r="O9" s="135"/>
      <c r="P9" s="136"/>
      <c r="Q9" s="136"/>
      <c r="R9" s="137"/>
    </row>
    <row r="10" spans="2:18" ht="10.5" customHeight="1" thickBot="1" x14ac:dyDescent="0.25"/>
    <row r="11" spans="2:18" ht="23.25" customHeight="1" x14ac:dyDescent="0.2">
      <c r="L11" s="126" t="s">
        <v>115</v>
      </c>
      <c r="M11" s="127"/>
      <c r="N11" s="127"/>
      <c r="O11" s="127"/>
      <c r="P11" s="127"/>
      <c r="Q11" s="127"/>
      <c r="R11" s="128"/>
    </row>
    <row r="12" spans="2:18" ht="15.75" customHeight="1" thickBot="1" x14ac:dyDescent="0.25">
      <c r="L12" s="129"/>
      <c r="M12" s="130"/>
      <c r="N12" s="130"/>
      <c r="O12" s="130"/>
      <c r="P12" s="130"/>
      <c r="Q12" s="130"/>
      <c r="R12" s="131"/>
    </row>
    <row r="13" spans="2:18" x14ac:dyDescent="0.2">
      <c r="L13" s="132"/>
      <c r="M13" s="133"/>
      <c r="N13" s="133"/>
      <c r="O13" s="133"/>
      <c r="P13" s="133"/>
      <c r="Q13" s="133"/>
      <c r="R13" s="134"/>
    </row>
    <row r="14" spans="2:18" x14ac:dyDescent="0.2">
      <c r="L14" s="135"/>
      <c r="M14" s="136"/>
      <c r="N14" s="136"/>
      <c r="O14" s="136"/>
      <c r="P14" s="136"/>
      <c r="Q14" s="136"/>
      <c r="R14" s="137"/>
    </row>
    <row r="15" spans="2:18" x14ac:dyDescent="0.2">
      <c r="L15" s="135"/>
      <c r="M15" s="136"/>
      <c r="N15" s="136"/>
      <c r="O15" s="136"/>
      <c r="P15" s="136"/>
      <c r="Q15" s="136"/>
      <c r="R15" s="137"/>
    </row>
    <row r="16" spans="2:18" x14ac:dyDescent="0.2">
      <c r="L16" s="135"/>
      <c r="M16" s="136"/>
      <c r="N16" s="136"/>
      <c r="O16" s="136"/>
      <c r="P16" s="136"/>
      <c r="Q16" s="136"/>
      <c r="R16" s="137"/>
    </row>
    <row r="17" spans="12:18" x14ac:dyDescent="0.2">
      <c r="L17" s="135"/>
      <c r="M17" s="136"/>
      <c r="N17" s="136"/>
      <c r="O17" s="136"/>
      <c r="P17" s="136"/>
      <c r="Q17" s="136"/>
      <c r="R17" s="137"/>
    </row>
    <row r="18" spans="12:18" x14ac:dyDescent="0.2">
      <c r="L18" s="135"/>
      <c r="M18" s="136"/>
      <c r="N18" s="136"/>
      <c r="O18" s="136"/>
      <c r="P18" s="136"/>
      <c r="Q18" s="136"/>
      <c r="R18" s="137"/>
    </row>
    <row r="19" spans="12:18" x14ac:dyDescent="0.2">
      <c r="L19" s="135"/>
      <c r="M19" s="136"/>
      <c r="N19" s="136"/>
      <c r="O19" s="136"/>
      <c r="P19" s="136"/>
      <c r="Q19" s="136"/>
      <c r="R19" s="137"/>
    </row>
    <row r="20" spans="12:18" x14ac:dyDescent="0.2">
      <c r="L20" s="135"/>
      <c r="M20" s="136"/>
      <c r="N20" s="136"/>
      <c r="O20" s="136"/>
      <c r="P20" s="136"/>
      <c r="Q20" s="136"/>
      <c r="R20" s="137"/>
    </row>
    <row r="21" spans="12:18" x14ac:dyDescent="0.2">
      <c r="L21" s="135"/>
      <c r="M21" s="136"/>
      <c r="N21" s="136"/>
      <c r="O21" s="136"/>
      <c r="P21" s="136"/>
      <c r="Q21" s="136"/>
      <c r="R21" s="137"/>
    </row>
    <row r="22" spans="12:18" x14ac:dyDescent="0.2">
      <c r="L22" s="135"/>
      <c r="M22" s="136"/>
      <c r="N22" s="136"/>
      <c r="O22" s="136"/>
      <c r="P22" s="136"/>
      <c r="Q22" s="136"/>
      <c r="R22" s="137"/>
    </row>
    <row r="23" spans="12:18" x14ac:dyDescent="0.2">
      <c r="L23" s="135"/>
      <c r="M23" s="136"/>
      <c r="N23" s="136"/>
      <c r="O23" s="136"/>
      <c r="P23" s="136"/>
      <c r="Q23" s="136"/>
      <c r="R23" s="137"/>
    </row>
    <row r="24" spans="12:18" x14ac:dyDescent="0.2">
      <c r="L24" s="135"/>
      <c r="M24" s="136"/>
      <c r="N24" s="136"/>
      <c r="O24" s="136"/>
      <c r="P24" s="136"/>
      <c r="Q24" s="136"/>
      <c r="R24" s="137"/>
    </row>
    <row r="25" spans="12:18" x14ac:dyDescent="0.2">
      <c r="L25" s="135"/>
      <c r="M25" s="136"/>
      <c r="N25" s="136"/>
      <c r="O25" s="136"/>
      <c r="P25" s="136"/>
      <c r="Q25" s="136"/>
      <c r="R25" s="137"/>
    </row>
    <row r="26" spans="12:18" x14ac:dyDescent="0.2">
      <c r="L26" s="135"/>
      <c r="M26" s="136"/>
      <c r="N26" s="136"/>
      <c r="O26" s="136"/>
      <c r="P26" s="136"/>
      <c r="Q26" s="136"/>
      <c r="R26" s="137"/>
    </row>
    <row r="27" spans="12:18" x14ac:dyDescent="0.2">
      <c r="L27" s="135"/>
      <c r="M27" s="136"/>
      <c r="N27" s="136"/>
      <c r="O27" s="136"/>
      <c r="P27" s="136"/>
      <c r="Q27" s="136"/>
      <c r="R27" s="137"/>
    </row>
    <row r="28" spans="12:18" x14ac:dyDescent="0.2">
      <c r="L28" s="135"/>
      <c r="M28" s="136"/>
      <c r="N28" s="136"/>
      <c r="O28" s="136"/>
      <c r="P28" s="136"/>
      <c r="Q28" s="136"/>
      <c r="R28" s="137"/>
    </row>
    <row r="29" spans="12:18" x14ac:dyDescent="0.2">
      <c r="L29" s="135"/>
      <c r="M29" s="136"/>
      <c r="N29" s="136"/>
      <c r="O29" s="136"/>
      <c r="P29" s="136"/>
      <c r="Q29" s="136"/>
      <c r="R29" s="137"/>
    </row>
    <row r="30" spans="12:18" x14ac:dyDescent="0.2">
      <c r="L30" s="135"/>
      <c r="M30" s="136"/>
      <c r="N30" s="136"/>
      <c r="O30" s="136"/>
      <c r="P30" s="136"/>
      <c r="Q30" s="136"/>
      <c r="R30" s="137"/>
    </row>
    <row r="31" spans="12:18" x14ac:dyDescent="0.2">
      <c r="L31" s="135"/>
      <c r="M31" s="136"/>
      <c r="N31" s="136"/>
      <c r="O31" s="136"/>
      <c r="P31" s="136"/>
      <c r="Q31" s="136"/>
      <c r="R31" s="137"/>
    </row>
    <row r="32" spans="12:18" x14ac:dyDescent="0.2">
      <c r="L32" s="135"/>
      <c r="M32" s="136"/>
      <c r="N32" s="136"/>
      <c r="O32" s="136"/>
      <c r="P32" s="136"/>
      <c r="Q32" s="136"/>
      <c r="R32" s="137"/>
    </row>
    <row r="33" spans="12:18" x14ac:dyDescent="0.2">
      <c r="L33" s="135"/>
      <c r="M33" s="136"/>
      <c r="N33" s="136"/>
      <c r="O33" s="136"/>
      <c r="P33" s="136"/>
      <c r="Q33" s="136"/>
      <c r="R33" s="137"/>
    </row>
    <row r="34" spans="12:18" x14ac:dyDescent="0.2">
      <c r="L34" s="135"/>
      <c r="M34" s="136"/>
      <c r="N34" s="136"/>
      <c r="O34" s="136"/>
      <c r="P34" s="136"/>
      <c r="Q34" s="136"/>
      <c r="R34" s="137"/>
    </row>
    <row r="35" spans="12:18" x14ac:dyDescent="0.2">
      <c r="L35" s="135"/>
      <c r="M35" s="136"/>
      <c r="N35" s="136"/>
      <c r="O35" s="136"/>
      <c r="P35" s="136"/>
      <c r="Q35" s="136"/>
      <c r="R35" s="137"/>
    </row>
    <row r="36" spans="12:18" x14ac:dyDescent="0.2">
      <c r="L36" s="135"/>
      <c r="M36" s="136"/>
      <c r="N36" s="136"/>
      <c r="O36" s="136"/>
      <c r="P36" s="136"/>
      <c r="Q36" s="136"/>
      <c r="R36" s="137"/>
    </row>
    <row r="37" spans="12:18" x14ac:dyDescent="0.2">
      <c r="L37" s="135"/>
      <c r="M37" s="136"/>
      <c r="N37" s="136"/>
      <c r="O37" s="136"/>
      <c r="P37" s="136"/>
      <c r="Q37" s="136"/>
      <c r="R37" s="137"/>
    </row>
    <row r="38" spans="12:18" x14ac:dyDescent="0.2">
      <c r="L38" s="135"/>
      <c r="M38" s="136"/>
      <c r="N38" s="136"/>
      <c r="O38" s="136"/>
      <c r="P38" s="136"/>
      <c r="Q38" s="136"/>
      <c r="R38" s="137"/>
    </row>
    <row r="39" spans="12:18" x14ac:dyDescent="0.2">
      <c r="L39" s="135"/>
      <c r="M39" s="136"/>
      <c r="N39" s="136"/>
      <c r="O39" s="136"/>
      <c r="P39" s="136"/>
      <c r="Q39" s="136"/>
      <c r="R39" s="137"/>
    </row>
    <row r="40" spans="12:18" x14ac:dyDescent="0.2">
      <c r="L40" s="135"/>
      <c r="M40" s="136"/>
      <c r="N40" s="136"/>
      <c r="O40" s="136"/>
      <c r="P40" s="136"/>
      <c r="Q40" s="136"/>
      <c r="R40" s="137"/>
    </row>
    <row r="41" spans="12:18" ht="15" thickBot="1" x14ac:dyDescent="0.25">
      <c r="L41" s="138"/>
      <c r="M41" s="139"/>
      <c r="N41" s="139"/>
      <c r="O41" s="139"/>
      <c r="P41" s="139"/>
      <c r="Q41" s="139"/>
      <c r="R41" s="140"/>
    </row>
  </sheetData>
  <mergeCells count="7">
    <mergeCell ref="I2:M2"/>
    <mergeCell ref="C2:G2"/>
    <mergeCell ref="B3:G9"/>
    <mergeCell ref="L11:R12"/>
    <mergeCell ref="L13:R41"/>
    <mergeCell ref="O2:R2"/>
    <mergeCell ref="O3:R9"/>
  </mergeCells>
  <conditionalFormatting sqref="L5:L9">
    <cfRule type="containsText" dxfId="3" priority="1" operator="containsText" text="debilidad">
      <formula>NOT(ISERROR(SEARCH("debilidad",L5)))</formula>
    </cfRule>
    <cfRule type="containsText" dxfId="2" priority="2" operator="containsText" text="fortaleza">
      <formula>NOT(ISERROR(SEARCH("fortaleza",L5)))</formula>
    </cfRule>
  </conditionalFormatting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T70"/>
  <sheetViews>
    <sheetView showGridLines="0" tabSelected="1" zoomScale="80" zoomScaleNormal="80" workbookViewId="0">
      <pane ySplit="11" topLeftCell="A12" activePane="bottomLeft" state="frozen"/>
      <selection pane="bottomLeft" activeCell="D2" sqref="D2:P3"/>
    </sheetView>
  </sheetViews>
  <sheetFormatPr baseColWidth="10" defaultRowHeight="14.25" x14ac:dyDescent="0.2"/>
  <cols>
    <col min="1" max="1" width="1.85546875" style="18" customWidth="1"/>
    <col min="2" max="2" width="5" style="39" customWidth="1"/>
    <col min="3" max="3" width="24.7109375" style="18" customWidth="1"/>
    <col min="4" max="4" width="26.28515625" style="18" customWidth="1"/>
    <col min="5" max="5" width="13.85546875" style="18" customWidth="1"/>
    <col min="6" max="6" width="16.42578125" style="18" customWidth="1"/>
    <col min="7" max="7" width="7.5703125" style="18" customWidth="1"/>
    <col min="8" max="8" width="14.7109375" style="18" customWidth="1"/>
    <col min="9" max="9" width="14.85546875" style="18" customWidth="1"/>
    <col min="10" max="10" width="11.85546875" style="18" customWidth="1"/>
    <col min="11" max="11" width="2" style="18" customWidth="1"/>
    <col min="12" max="16" width="10.85546875" style="18" customWidth="1"/>
    <col min="17" max="17" width="2.140625" style="18" customWidth="1"/>
    <col min="18" max="20" width="11" style="18" customWidth="1"/>
    <col min="21" max="16384" width="11.42578125" style="18"/>
  </cols>
  <sheetData>
    <row r="1" spans="2:20" ht="8.25" customHeight="1" thickBot="1" x14ac:dyDescent="0.25">
      <c r="B1" s="16"/>
      <c r="C1" s="17"/>
      <c r="D1" s="17"/>
      <c r="E1" s="17"/>
      <c r="F1" s="17"/>
      <c r="G1" s="17"/>
    </row>
    <row r="2" spans="2:20" ht="27.75" customHeight="1" thickBot="1" x14ac:dyDescent="0.25">
      <c r="B2" s="19"/>
      <c r="C2" s="20"/>
      <c r="D2" s="154" t="s">
        <v>146</v>
      </c>
      <c r="E2" s="155"/>
      <c r="F2" s="155"/>
      <c r="G2" s="155"/>
      <c r="H2" s="155"/>
      <c r="I2" s="155"/>
      <c r="J2" s="155"/>
      <c r="K2" s="155"/>
      <c r="L2" s="155"/>
      <c r="M2" s="155"/>
      <c r="N2" s="155"/>
      <c r="O2" s="155"/>
      <c r="P2" s="156"/>
    </row>
    <row r="3" spans="2:20" ht="6.75" customHeight="1" thickBot="1" x14ac:dyDescent="0.25">
      <c r="B3" s="19"/>
      <c r="C3" s="20"/>
      <c r="D3" s="20"/>
    </row>
    <row r="4" spans="2:20" ht="15" customHeight="1" thickBot="1" x14ac:dyDescent="0.25">
      <c r="B4" s="19"/>
      <c r="C4" s="20"/>
      <c r="D4" s="162" t="s">
        <v>120</v>
      </c>
      <c r="E4" s="163"/>
      <c r="F4" s="163"/>
      <c r="G4" s="163"/>
      <c r="H4" s="163"/>
      <c r="I4" s="163"/>
      <c r="J4" s="164"/>
      <c r="N4" s="165" t="s">
        <v>15</v>
      </c>
      <c r="O4" s="166"/>
    </row>
    <row r="5" spans="2:20" ht="15" customHeight="1" thickBot="1" x14ac:dyDescent="0.25">
      <c r="B5" s="19"/>
      <c r="C5" s="20"/>
      <c r="D5" s="21" t="s">
        <v>1</v>
      </c>
      <c r="E5" s="22" t="s">
        <v>0</v>
      </c>
      <c r="F5" s="22" t="s">
        <v>48</v>
      </c>
      <c r="G5" s="17"/>
      <c r="H5" s="167" t="s">
        <v>112</v>
      </c>
      <c r="I5" s="168"/>
      <c r="J5" s="23" t="s">
        <v>0</v>
      </c>
      <c r="N5" s="165" t="s">
        <v>14</v>
      </c>
      <c r="O5" s="166"/>
    </row>
    <row r="6" spans="2:20" ht="25.5" x14ac:dyDescent="0.2">
      <c r="B6" s="19"/>
      <c r="C6" s="20"/>
      <c r="D6" s="80" t="s">
        <v>134</v>
      </c>
      <c r="E6" s="24">
        <v>1</v>
      </c>
      <c r="F6" s="24" t="s">
        <v>49</v>
      </c>
      <c r="G6" s="17"/>
      <c r="H6" s="83" t="s">
        <v>3</v>
      </c>
      <c r="I6" s="83"/>
      <c r="J6" s="25">
        <v>1</v>
      </c>
    </row>
    <row r="7" spans="2:20" ht="27.75" customHeight="1" x14ac:dyDescent="0.2">
      <c r="B7" s="19"/>
      <c r="C7" s="20"/>
      <c r="D7" s="81" t="s">
        <v>135</v>
      </c>
      <c r="E7" s="26">
        <v>2</v>
      </c>
      <c r="F7" s="26" t="s">
        <v>50</v>
      </c>
      <c r="G7" s="17"/>
      <c r="H7" s="84" t="s">
        <v>4</v>
      </c>
      <c r="I7" s="84"/>
      <c r="J7" s="25">
        <v>2</v>
      </c>
    </row>
    <row r="8" spans="2:20" x14ac:dyDescent="0.2">
      <c r="B8" s="19"/>
      <c r="C8" s="20"/>
      <c r="D8" s="80" t="s">
        <v>118</v>
      </c>
      <c r="E8" s="24">
        <v>3</v>
      </c>
      <c r="F8" s="24" t="s">
        <v>51</v>
      </c>
      <c r="G8" s="17"/>
      <c r="H8" s="83" t="s">
        <v>5</v>
      </c>
      <c r="I8" s="83"/>
      <c r="J8" s="25">
        <v>3</v>
      </c>
    </row>
    <row r="9" spans="2:20" x14ac:dyDescent="0.2">
      <c r="B9" s="19"/>
      <c r="C9" s="20"/>
      <c r="D9" s="81" t="s">
        <v>119</v>
      </c>
      <c r="E9" s="26">
        <v>4</v>
      </c>
      <c r="F9" s="26" t="s">
        <v>52</v>
      </c>
      <c r="G9" s="17"/>
      <c r="H9" s="84" t="s">
        <v>6</v>
      </c>
      <c r="I9" s="84"/>
      <c r="J9" s="25">
        <v>4</v>
      </c>
    </row>
    <row r="10" spans="2:20" ht="32.25" customHeight="1" thickBot="1" x14ac:dyDescent="0.25">
      <c r="B10" s="19"/>
      <c r="C10" s="20"/>
      <c r="D10" s="82" t="s">
        <v>136</v>
      </c>
      <c r="E10" s="27">
        <v>5</v>
      </c>
      <c r="F10" s="27" t="s">
        <v>53</v>
      </c>
      <c r="G10" s="28"/>
      <c r="H10" s="85" t="s">
        <v>7</v>
      </c>
      <c r="I10" s="85"/>
      <c r="J10" s="29">
        <v>5</v>
      </c>
    </row>
    <row r="11" spans="2:20" ht="15" customHeight="1" x14ac:dyDescent="0.2">
      <c r="B11" s="19"/>
      <c r="C11" s="20"/>
      <c r="D11" s="20"/>
    </row>
    <row r="12" spans="2:20" ht="7.5" customHeight="1" thickBot="1" x14ac:dyDescent="0.25"/>
    <row r="13" spans="2:20" ht="27" customHeight="1" thickBot="1" x14ac:dyDescent="0.25">
      <c r="B13" s="147" t="s">
        <v>147</v>
      </c>
      <c r="C13" s="148"/>
      <c r="D13" s="148"/>
      <c r="E13" s="148"/>
      <c r="F13" s="148"/>
      <c r="G13" s="148"/>
      <c r="H13" s="148"/>
      <c r="I13" s="149"/>
      <c r="J13" s="150"/>
      <c r="R13" s="160" t="s">
        <v>127</v>
      </c>
      <c r="S13" s="161"/>
      <c r="T13" s="161"/>
    </row>
    <row r="14" spans="2:20" ht="27" customHeight="1" x14ac:dyDescent="0.2">
      <c r="B14" s="30" t="s">
        <v>2</v>
      </c>
      <c r="C14" s="31" t="s">
        <v>44</v>
      </c>
      <c r="D14" s="146" t="s">
        <v>45</v>
      </c>
      <c r="E14" s="146"/>
      <c r="F14" s="146"/>
      <c r="G14" s="146"/>
      <c r="H14" s="32" t="s">
        <v>0</v>
      </c>
      <c r="I14" s="33" t="s">
        <v>145</v>
      </c>
      <c r="J14" s="31" t="s">
        <v>46</v>
      </c>
      <c r="R14" s="132"/>
      <c r="S14" s="133"/>
      <c r="T14" s="134"/>
    </row>
    <row r="15" spans="2:20" ht="27" customHeight="1" x14ac:dyDescent="0.2">
      <c r="B15" s="34">
        <v>1</v>
      </c>
      <c r="C15" s="12" t="s">
        <v>121</v>
      </c>
      <c r="D15" s="151" t="s">
        <v>58</v>
      </c>
      <c r="E15" s="151"/>
      <c r="F15" s="151"/>
      <c r="G15" s="151"/>
      <c r="H15" s="35"/>
      <c r="I15" s="35"/>
      <c r="J15" s="35" t="str">
        <f>IF(H15&lt;4,"DEBILIDAD","FORTALEZA")</f>
        <v>DEBILIDAD</v>
      </c>
      <c r="R15" s="135"/>
      <c r="S15" s="136"/>
      <c r="T15" s="137"/>
    </row>
    <row r="16" spans="2:20" ht="27" customHeight="1" x14ac:dyDescent="0.2">
      <c r="B16" s="14">
        <v>2</v>
      </c>
      <c r="C16" s="13" t="s">
        <v>54</v>
      </c>
      <c r="D16" s="141" t="s">
        <v>59</v>
      </c>
      <c r="E16" s="141"/>
      <c r="F16" s="141"/>
      <c r="G16" s="141"/>
      <c r="H16" s="36"/>
      <c r="I16" s="36"/>
      <c r="J16" s="36" t="str">
        <f t="shared" ref="J16:J21" si="0">IF(H16&lt;4,"DEBILIDAD","FORTALEZA")</f>
        <v>DEBILIDAD</v>
      </c>
      <c r="R16" s="135"/>
      <c r="S16" s="136"/>
      <c r="T16" s="137"/>
    </row>
    <row r="17" spans="2:20" ht="27" customHeight="1" x14ac:dyDescent="0.2">
      <c r="B17" s="34">
        <v>3</v>
      </c>
      <c r="C17" s="12" t="s">
        <v>55</v>
      </c>
      <c r="D17" s="151" t="s">
        <v>60</v>
      </c>
      <c r="E17" s="151"/>
      <c r="F17" s="151"/>
      <c r="G17" s="151"/>
      <c r="H17" s="35"/>
      <c r="I17" s="35"/>
      <c r="J17" s="35" t="str">
        <f t="shared" si="0"/>
        <v>DEBILIDAD</v>
      </c>
      <c r="R17" s="135"/>
      <c r="S17" s="136"/>
      <c r="T17" s="137"/>
    </row>
    <row r="18" spans="2:20" ht="27" customHeight="1" x14ac:dyDescent="0.2">
      <c r="B18" s="14">
        <v>4</v>
      </c>
      <c r="C18" s="13" t="s">
        <v>139</v>
      </c>
      <c r="D18" s="141" t="s">
        <v>61</v>
      </c>
      <c r="E18" s="141"/>
      <c r="F18" s="141"/>
      <c r="G18" s="141"/>
      <c r="H18" s="36"/>
      <c r="I18" s="36"/>
      <c r="J18" s="36" t="str">
        <f t="shared" si="0"/>
        <v>DEBILIDAD</v>
      </c>
      <c r="R18" s="135"/>
      <c r="S18" s="136"/>
      <c r="T18" s="137"/>
    </row>
    <row r="19" spans="2:20" ht="27" customHeight="1" x14ac:dyDescent="0.2">
      <c r="B19" s="34">
        <v>5</v>
      </c>
      <c r="C19" s="12" t="s">
        <v>56</v>
      </c>
      <c r="D19" s="151" t="s">
        <v>62</v>
      </c>
      <c r="E19" s="151"/>
      <c r="F19" s="151"/>
      <c r="G19" s="151"/>
      <c r="H19" s="35"/>
      <c r="I19" s="35"/>
      <c r="J19" s="35" t="str">
        <f t="shared" si="0"/>
        <v>DEBILIDAD</v>
      </c>
      <c r="R19" s="135"/>
      <c r="S19" s="136"/>
      <c r="T19" s="137"/>
    </row>
    <row r="20" spans="2:20" ht="27" customHeight="1" thickBot="1" x14ac:dyDescent="0.25">
      <c r="B20" s="14">
        <v>6</v>
      </c>
      <c r="C20" s="13" t="s">
        <v>57</v>
      </c>
      <c r="D20" s="141" t="s">
        <v>63</v>
      </c>
      <c r="E20" s="141"/>
      <c r="F20" s="141"/>
      <c r="G20" s="141"/>
      <c r="H20" s="36"/>
      <c r="I20" s="36"/>
      <c r="J20" s="36" t="str">
        <f t="shared" si="0"/>
        <v>DEBILIDAD</v>
      </c>
      <c r="R20" s="135"/>
      <c r="S20" s="136"/>
      <c r="T20" s="137"/>
    </row>
    <row r="21" spans="2:20" ht="14.25" customHeight="1" thickBot="1" x14ac:dyDescent="0.3">
      <c r="B21" s="144" t="s">
        <v>47</v>
      </c>
      <c r="C21" s="145"/>
      <c r="D21" s="145"/>
      <c r="E21" s="145"/>
      <c r="F21" s="145"/>
      <c r="G21" s="145"/>
      <c r="H21" s="38">
        <f>IFERROR(AVERAGE(H15:H20),0)</f>
        <v>0</v>
      </c>
      <c r="I21" s="38">
        <f>IFERROR(AVERAGE(I15:I20),0)</f>
        <v>0</v>
      </c>
      <c r="J21" s="38" t="str">
        <f t="shared" si="0"/>
        <v>DEBILIDAD</v>
      </c>
      <c r="R21" s="138"/>
      <c r="S21" s="139"/>
      <c r="T21" s="140"/>
    </row>
    <row r="22" spans="2:20" ht="9.75" customHeight="1" thickBot="1" x14ac:dyDescent="0.25"/>
    <row r="23" spans="2:20" ht="27" customHeight="1" thickBot="1" x14ac:dyDescent="0.25">
      <c r="B23" s="147" t="s">
        <v>148</v>
      </c>
      <c r="C23" s="148"/>
      <c r="D23" s="148"/>
      <c r="E23" s="148"/>
      <c r="F23" s="148"/>
      <c r="G23" s="148"/>
      <c r="H23" s="148"/>
      <c r="I23" s="152"/>
      <c r="J23" s="153"/>
      <c r="R23" s="160" t="s">
        <v>127</v>
      </c>
      <c r="S23" s="161"/>
      <c r="T23" s="161"/>
    </row>
    <row r="24" spans="2:20" ht="27" customHeight="1" x14ac:dyDescent="0.2">
      <c r="B24" s="30" t="s">
        <v>2</v>
      </c>
      <c r="C24" s="31" t="s">
        <v>44</v>
      </c>
      <c r="D24" s="146" t="s">
        <v>45</v>
      </c>
      <c r="E24" s="146"/>
      <c r="F24" s="146"/>
      <c r="G24" s="146"/>
      <c r="H24" s="40" t="s">
        <v>0</v>
      </c>
      <c r="I24" s="33" t="s">
        <v>145</v>
      </c>
      <c r="J24" s="41" t="s">
        <v>46</v>
      </c>
      <c r="R24" s="132"/>
      <c r="S24" s="133"/>
      <c r="T24" s="134"/>
    </row>
    <row r="25" spans="2:20" ht="16.5" customHeight="1" x14ac:dyDescent="0.2">
      <c r="B25" s="34">
        <v>1</v>
      </c>
      <c r="C25" s="12" t="s">
        <v>64</v>
      </c>
      <c r="D25" s="151" t="s">
        <v>133</v>
      </c>
      <c r="E25" s="151"/>
      <c r="F25" s="151"/>
      <c r="G25" s="151"/>
      <c r="H25" s="42"/>
      <c r="I25" s="35"/>
      <c r="J25" s="35" t="str">
        <f>IF(H25&lt;4,"DEBILIDAD","FORTALEZA")</f>
        <v>DEBILIDAD</v>
      </c>
      <c r="R25" s="135"/>
      <c r="S25" s="136"/>
      <c r="T25" s="137"/>
    </row>
    <row r="26" spans="2:20" ht="42.75" customHeight="1" x14ac:dyDescent="0.2">
      <c r="B26" s="14">
        <v>2</v>
      </c>
      <c r="C26" s="13" t="s">
        <v>65</v>
      </c>
      <c r="D26" s="141" t="s">
        <v>66</v>
      </c>
      <c r="E26" s="141"/>
      <c r="F26" s="141"/>
      <c r="G26" s="141"/>
      <c r="H26" s="43"/>
      <c r="I26" s="36"/>
      <c r="J26" s="36" t="str">
        <f t="shared" ref="J26:J35" si="1">IF(H26&lt;4,"DEBILIDAD","FORTALEZA")</f>
        <v>DEBILIDAD</v>
      </c>
      <c r="R26" s="135"/>
      <c r="S26" s="136"/>
      <c r="T26" s="137"/>
    </row>
    <row r="27" spans="2:20" ht="24" customHeight="1" x14ac:dyDescent="0.2">
      <c r="B27" s="34">
        <v>3</v>
      </c>
      <c r="C27" s="12" t="s">
        <v>137</v>
      </c>
      <c r="D27" s="151" t="s">
        <v>67</v>
      </c>
      <c r="E27" s="151"/>
      <c r="F27" s="151"/>
      <c r="G27" s="151"/>
      <c r="H27" s="42"/>
      <c r="I27" s="35"/>
      <c r="J27" s="35" t="str">
        <f t="shared" si="1"/>
        <v>DEBILIDAD</v>
      </c>
      <c r="R27" s="135"/>
      <c r="S27" s="136"/>
      <c r="T27" s="137"/>
    </row>
    <row r="28" spans="2:20" ht="27" customHeight="1" x14ac:dyDescent="0.2">
      <c r="B28" s="14">
        <v>4</v>
      </c>
      <c r="C28" s="13" t="s">
        <v>138</v>
      </c>
      <c r="D28" s="141" t="s">
        <v>116</v>
      </c>
      <c r="E28" s="141"/>
      <c r="F28" s="141"/>
      <c r="G28" s="141"/>
      <c r="H28" s="43"/>
      <c r="I28" s="36"/>
      <c r="J28" s="36" t="str">
        <f t="shared" si="1"/>
        <v>DEBILIDAD</v>
      </c>
      <c r="R28" s="135"/>
      <c r="S28" s="136"/>
      <c r="T28" s="137"/>
    </row>
    <row r="29" spans="2:20" ht="27" customHeight="1" x14ac:dyDescent="0.2">
      <c r="B29" s="34">
        <v>5</v>
      </c>
      <c r="C29" s="12" t="s">
        <v>68</v>
      </c>
      <c r="D29" s="151" t="s">
        <v>69</v>
      </c>
      <c r="E29" s="151"/>
      <c r="F29" s="151"/>
      <c r="G29" s="151"/>
      <c r="H29" s="42"/>
      <c r="I29" s="35"/>
      <c r="J29" s="35" t="str">
        <f t="shared" si="1"/>
        <v>DEBILIDAD</v>
      </c>
      <c r="R29" s="135"/>
      <c r="S29" s="136"/>
      <c r="T29" s="137"/>
    </row>
    <row r="30" spans="2:20" ht="27" customHeight="1" x14ac:dyDescent="0.2">
      <c r="B30" s="14">
        <v>6</v>
      </c>
      <c r="C30" s="13" t="s">
        <v>70</v>
      </c>
      <c r="D30" s="141" t="s">
        <v>71</v>
      </c>
      <c r="E30" s="141"/>
      <c r="F30" s="141"/>
      <c r="G30" s="141"/>
      <c r="H30" s="43"/>
      <c r="I30" s="36"/>
      <c r="J30" s="36" t="str">
        <f t="shared" si="1"/>
        <v>DEBILIDAD</v>
      </c>
      <c r="R30" s="135"/>
      <c r="S30" s="136"/>
      <c r="T30" s="137"/>
    </row>
    <row r="31" spans="2:20" ht="26.25" customHeight="1" x14ac:dyDescent="0.2">
      <c r="B31" s="34">
        <v>7</v>
      </c>
      <c r="C31" s="44" t="s">
        <v>72</v>
      </c>
      <c r="D31" s="157" t="s">
        <v>132</v>
      </c>
      <c r="E31" s="158"/>
      <c r="F31" s="158"/>
      <c r="G31" s="159"/>
      <c r="H31" s="42"/>
      <c r="I31" s="35"/>
      <c r="J31" s="35" t="str">
        <f t="shared" si="1"/>
        <v>DEBILIDAD</v>
      </c>
      <c r="R31" s="135"/>
      <c r="S31" s="136"/>
      <c r="T31" s="137"/>
    </row>
    <row r="32" spans="2:20" ht="24" customHeight="1" x14ac:dyDescent="0.2">
      <c r="B32" s="14">
        <v>8</v>
      </c>
      <c r="C32" s="13" t="s">
        <v>73</v>
      </c>
      <c r="D32" s="141" t="s">
        <v>74</v>
      </c>
      <c r="E32" s="141"/>
      <c r="F32" s="141"/>
      <c r="G32" s="141"/>
      <c r="H32" s="43"/>
      <c r="I32" s="36"/>
      <c r="J32" s="36" t="str">
        <f t="shared" si="1"/>
        <v>DEBILIDAD</v>
      </c>
      <c r="R32" s="135"/>
      <c r="S32" s="136"/>
      <c r="T32" s="137"/>
    </row>
    <row r="33" spans="2:20" ht="24" customHeight="1" x14ac:dyDescent="0.2">
      <c r="B33" s="34">
        <v>9</v>
      </c>
      <c r="C33" s="12" t="s">
        <v>75</v>
      </c>
      <c r="D33" s="151" t="s">
        <v>76</v>
      </c>
      <c r="E33" s="151"/>
      <c r="F33" s="151"/>
      <c r="G33" s="151"/>
      <c r="H33" s="42"/>
      <c r="I33" s="35"/>
      <c r="J33" s="35" t="str">
        <f t="shared" si="1"/>
        <v>DEBILIDAD</v>
      </c>
      <c r="R33" s="135"/>
      <c r="S33" s="136"/>
      <c r="T33" s="137"/>
    </row>
    <row r="34" spans="2:20" ht="27" customHeight="1" thickBot="1" x14ac:dyDescent="0.25">
      <c r="B34" s="14">
        <v>10</v>
      </c>
      <c r="C34" s="13" t="s">
        <v>77</v>
      </c>
      <c r="D34" s="141" t="s">
        <v>129</v>
      </c>
      <c r="E34" s="141"/>
      <c r="F34" s="141"/>
      <c r="G34" s="141"/>
      <c r="H34" s="43"/>
      <c r="I34" s="36"/>
      <c r="J34" s="36" t="str">
        <f t="shared" si="1"/>
        <v>DEBILIDAD</v>
      </c>
      <c r="R34" s="138"/>
      <c r="S34" s="139"/>
      <c r="T34" s="140"/>
    </row>
    <row r="35" spans="2:20" ht="14.25" customHeight="1" thickBot="1" x14ac:dyDescent="0.3">
      <c r="B35" s="144" t="s">
        <v>47</v>
      </c>
      <c r="C35" s="145"/>
      <c r="D35" s="145"/>
      <c r="E35" s="145"/>
      <c r="F35" s="145"/>
      <c r="G35" s="145"/>
      <c r="H35" s="45"/>
      <c r="I35" s="45"/>
      <c r="J35" s="35" t="str">
        <f t="shared" si="1"/>
        <v>DEBILIDAD</v>
      </c>
    </row>
    <row r="36" spans="2:20" ht="7.5" customHeight="1" thickBot="1" x14ac:dyDescent="0.25"/>
    <row r="37" spans="2:20" ht="27" customHeight="1" thickBot="1" x14ac:dyDescent="0.25">
      <c r="B37" s="147" t="s">
        <v>128</v>
      </c>
      <c r="C37" s="148"/>
      <c r="D37" s="148"/>
      <c r="E37" s="148"/>
      <c r="F37" s="148"/>
      <c r="G37" s="148"/>
      <c r="H37" s="148"/>
      <c r="I37" s="149"/>
      <c r="J37" s="150"/>
      <c r="R37" s="160" t="s">
        <v>127</v>
      </c>
      <c r="S37" s="161"/>
      <c r="T37" s="161"/>
    </row>
    <row r="38" spans="2:20" ht="27" customHeight="1" x14ac:dyDescent="0.2">
      <c r="B38" s="30" t="s">
        <v>2</v>
      </c>
      <c r="C38" s="31" t="s">
        <v>44</v>
      </c>
      <c r="D38" s="146" t="s">
        <v>45</v>
      </c>
      <c r="E38" s="146"/>
      <c r="F38" s="146"/>
      <c r="G38" s="146"/>
      <c r="H38" s="32" t="s">
        <v>0</v>
      </c>
      <c r="I38" s="33" t="s">
        <v>145</v>
      </c>
      <c r="J38" s="31" t="s">
        <v>46</v>
      </c>
      <c r="R38" s="132"/>
      <c r="S38" s="133"/>
      <c r="T38" s="134"/>
    </row>
    <row r="39" spans="2:20" ht="27" customHeight="1" x14ac:dyDescent="0.2">
      <c r="B39" s="34">
        <v>1</v>
      </c>
      <c r="C39" s="12" t="s">
        <v>78</v>
      </c>
      <c r="D39" s="142" t="s">
        <v>114</v>
      </c>
      <c r="E39" s="143"/>
      <c r="F39" s="143"/>
      <c r="G39" s="143"/>
      <c r="H39" s="35"/>
      <c r="I39" s="35"/>
      <c r="J39" s="35" t="str">
        <f>IF(H39&lt;4,"DEBILIDAD","FORTALEZA")</f>
        <v>DEBILIDAD</v>
      </c>
      <c r="R39" s="135"/>
      <c r="S39" s="136"/>
      <c r="T39" s="137"/>
    </row>
    <row r="40" spans="2:20" ht="27" customHeight="1" x14ac:dyDescent="0.2">
      <c r="B40" s="14">
        <v>2</v>
      </c>
      <c r="C40" s="222" t="s">
        <v>79</v>
      </c>
      <c r="D40" s="223" t="s">
        <v>84</v>
      </c>
      <c r="E40" s="223"/>
      <c r="F40" s="223"/>
      <c r="G40" s="223"/>
      <c r="H40" s="36"/>
      <c r="I40" s="36"/>
      <c r="J40" s="36" t="str">
        <f t="shared" ref="J40:J45" si="2">IF(H40&lt;4,"DEBILIDAD","FORTALEZA")</f>
        <v>DEBILIDAD</v>
      </c>
      <c r="R40" s="135"/>
      <c r="S40" s="136"/>
      <c r="T40" s="137"/>
    </row>
    <row r="41" spans="2:20" ht="27" customHeight="1" x14ac:dyDescent="0.2">
      <c r="B41" s="34">
        <v>3</v>
      </c>
      <c r="C41" s="220" t="s">
        <v>80</v>
      </c>
      <c r="D41" s="142" t="s">
        <v>85</v>
      </c>
      <c r="E41" s="143"/>
      <c r="F41" s="143"/>
      <c r="G41" s="143"/>
      <c r="H41" s="35"/>
      <c r="I41" s="35"/>
      <c r="J41" s="35" t="str">
        <f t="shared" si="2"/>
        <v>DEBILIDAD</v>
      </c>
      <c r="R41" s="135"/>
      <c r="S41" s="136"/>
      <c r="T41" s="137"/>
    </row>
    <row r="42" spans="2:20" ht="27" customHeight="1" x14ac:dyDescent="0.2">
      <c r="B42" s="14">
        <v>4</v>
      </c>
      <c r="C42" s="222" t="s">
        <v>81</v>
      </c>
      <c r="D42" s="223" t="s">
        <v>140</v>
      </c>
      <c r="E42" s="223"/>
      <c r="F42" s="223"/>
      <c r="G42" s="223"/>
      <c r="H42" s="36"/>
      <c r="I42" s="36"/>
      <c r="J42" s="36" t="str">
        <f t="shared" si="2"/>
        <v>DEBILIDAD</v>
      </c>
      <c r="R42" s="135"/>
      <c r="S42" s="136"/>
      <c r="T42" s="137"/>
    </row>
    <row r="43" spans="2:20" ht="28.5" customHeight="1" x14ac:dyDescent="0.2">
      <c r="B43" s="34">
        <v>5</v>
      </c>
      <c r="C43" s="220" t="s">
        <v>82</v>
      </c>
      <c r="D43" s="142" t="s">
        <v>131</v>
      </c>
      <c r="E43" s="143"/>
      <c r="F43" s="143"/>
      <c r="G43" s="143"/>
      <c r="H43" s="35"/>
      <c r="I43" s="35"/>
      <c r="J43" s="35" t="str">
        <f t="shared" si="2"/>
        <v>DEBILIDAD</v>
      </c>
      <c r="R43" s="135"/>
      <c r="S43" s="136"/>
      <c r="T43" s="137"/>
    </row>
    <row r="44" spans="2:20" ht="27" customHeight="1" thickBot="1" x14ac:dyDescent="0.25">
      <c r="B44" s="14">
        <v>6</v>
      </c>
      <c r="C44" s="222" t="s">
        <v>83</v>
      </c>
      <c r="D44" s="223" t="s">
        <v>122</v>
      </c>
      <c r="E44" s="223"/>
      <c r="F44" s="223"/>
      <c r="G44" s="223"/>
      <c r="H44" s="36"/>
      <c r="I44" s="36"/>
      <c r="J44" s="36" t="str">
        <f t="shared" si="2"/>
        <v>DEBILIDAD</v>
      </c>
      <c r="R44" s="135"/>
      <c r="S44" s="136"/>
      <c r="T44" s="137"/>
    </row>
    <row r="45" spans="2:20" ht="15" customHeight="1" thickBot="1" x14ac:dyDescent="0.3">
      <c r="B45" s="144" t="s">
        <v>47</v>
      </c>
      <c r="C45" s="145"/>
      <c r="D45" s="145"/>
      <c r="E45" s="145"/>
      <c r="F45" s="145"/>
      <c r="G45" s="145"/>
      <c r="H45" s="38">
        <f>IFERROR(AVERAGE(H39:H44),0)</f>
        <v>0</v>
      </c>
      <c r="I45" s="38">
        <f>IFERROR(AVERAGE(I39:I44),0)</f>
        <v>0</v>
      </c>
      <c r="J45" s="38" t="str">
        <f t="shared" si="2"/>
        <v>DEBILIDAD</v>
      </c>
      <c r="R45" s="138"/>
      <c r="S45" s="139"/>
      <c r="T45" s="140"/>
    </row>
    <row r="46" spans="2:20" ht="9" customHeight="1" thickBot="1" x14ac:dyDescent="0.25"/>
    <row r="47" spans="2:20" ht="27" customHeight="1" thickBot="1" x14ac:dyDescent="0.25">
      <c r="B47" s="147" t="s">
        <v>149</v>
      </c>
      <c r="C47" s="148"/>
      <c r="D47" s="148"/>
      <c r="E47" s="148"/>
      <c r="F47" s="148"/>
      <c r="G47" s="148"/>
      <c r="H47" s="148"/>
      <c r="I47" s="149"/>
      <c r="J47" s="150"/>
      <c r="R47" s="160" t="s">
        <v>127</v>
      </c>
      <c r="S47" s="161"/>
      <c r="T47" s="161"/>
    </row>
    <row r="48" spans="2:20" ht="27" customHeight="1" x14ac:dyDescent="0.2">
      <c r="B48" s="30" t="s">
        <v>2</v>
      </c>
      <c r="C48" s="31" t="s">
        <v>44</v>
      </c>
      <c r="D48" s="146" t="s">
        <v>45</v>
      </c>
      <c r="E48" s="146"/>
      <c r="F48" s="146"/>
      <c r="G48" s="146"/>
      <c r="H48" s="32" t="s">
        <v>0</v>
      </c>
      <c r="I48" s="33" t="s">
        <v>145</v>
      </c>
      <c r="J48" s="31" t="s">
        <v>46</v>
      </c>
      <c r="R48" s="132"/>
      <c r="S48" s="133"/>
      <c r="T48" s="134"/>
    </row>
    <row r="49" spans="2:20" ht="27" customHeight="1" x14ac:dyDescent="0.2">
      <c r="B49" s="34">
        <v>1</v>
      </c>
      <c r="C49" s="220" t="s">
        <v>86</v>
      </c>
      <c r="D49" s="142" t="s">
        <v>91</v>
      </c>
      <c r="E49" s="143"/>
      <c r="F49" s="143"/>
      <c r="G49" s="143"/>
      <c r="H49" s="221"/>
      <c r="I49" s="35"/>
      <c r="J49" s="35" t="str">
        <f>IF(H49&lt;4,"DEBILIDAD","FORTALEZA")</f>
        <v>DEBILIDAD</v>
      </c>
      <c r="R49" s="135"/>
      <c r="S49" s="136"/>
      <c r="T49" s="137"/>
    </row>
    <row r="50" spans="2:20" ht="27" customHeight="1" x14ac:dyDescent="0.2">
      <c r="B50" s="14">
        <v>2</v>
      </c>
      <c r="C50" s="222" t="s">
        <v>151</v>
      </c>
      <c r="D50" s="223" t="s">
        <v>152</v>
      </c>
      <c r="E50" s="223"/>
      <c r="F50" s="223"/>
      <c r="G50" s="223"/>
      <c r="H50" s="224"/>
      <c r="I50" s="36"/>
      <c r="J50" s="36" t="str">
        <f t="shared" ref="J50:J57" si="3">IF(H50&lt;4,"DEBILIDAD","FORTALEZA")</f>
        <v>DEBILIDAD</v>
      </c>
      <c r="R50" s="135"/>
      <c r="S50" s="136"/>
      <c r="T50" s="137"/>
    </row>
    <row r="51" spans="2:20" ht="41.25" customHeight="1" x14ac:dyDescent="0.2">
      <c r="B51" s="34">
        <v>3</v>
      </c>
      <c r="C51" s="220" t="s">
        <v>153</v>
      </c>
      <c r="D51" s="142" t="s">
        <v>154</v>
      </c>
      <c r="E51" s="143"/>
      <c r="F51" s="143"/>
      <c r="G51" s="143"/>
      <c r="H51" s="221"/>
      <c r="I51" s="35"/>
      <c r="J51" s="35" t="str">
        <f t="shared" si="3"/>
        <v>DEBILIDAD</v>
      </c>
      <c r="R51" s="135"/>
      <c r="S51" s="136"/>
      <c r="T51" s="137"/>
    </row>
    <row r="52" spans="2:20" ht="41.25" customHeight="1" x14ac:dyDescent="0.2">
      <c r="B52" s="14">
        <v>4</v>
      </c>
      <c r="C52" s="222" t="s">
        <v>87</v>
      </c>
      <c r="D52" s="223" t="s">
        <v>92</v>
      </c>
      <c r="E52" s="223"/>
      <c r="F52" s="223"/>
      <c r="G52" s="223"/>
      <c r="H52" s="224"/>
      <c r="I52" s="36"/>
      <c r="J52" s="36" t="str">
        <f t="shared" si="3"/>
        <v>DEBILIDAD</v>
      </c>
      <c r="R52" s="135"/>
      <c r="S52" s="136"/>
      <c r="T52" s="137"/>
    </row>
    <row r="53" spans="2:20" ht="27" customHeight="1" x14ac:dyDescent="0.2">
      <c r="B53" s="34">
        <v>5</v>
      </c>
      <c r="C53" s="220" t="s">
        <v>88</v>
      </c>
      <c r="D53" s="142" t="s">
        <v>93</v>
      </c>
      <c r="E53" s="143"/>
      <c r="F53" s="143"/>
      <c r="G53" s="143"/>
      <c r="H53" s="221"/>
      <c r="I53" s="35"/>
      <c r="J53" s="35" t="str">
        <f t="shared" si="3"/>
        <v>DEBILIDAD</v>
      </c>
      <c r="R53" s="135"/>
      <c r="S53" s="136"/>
      <c r="T53" s="137"/>
    </row>
    <row r="54" spans="2:20" ht="27" customHeight="1" x14ac:dyDescent="0.2">
      <c r="B54" s="14">
        <v>6</v>
      </c>
      <c r="C54" s="222" t="s">
        <v>89</v>
      </c>
      <c r="D54" s="223" t="s">
        <v>117</v>
      </c>
      <c r="E54" s="223"/>
      <c r="F54" s="223"/>
      <c r="G54" s="223"/>
      <c r="H54" s="224"/>
      <c r="I54" s="36"/>
      <c r="J54" s="36" t="str">
        <f t="shared" si="3"/>
        <v>DEBILIDAD</v>
      </c>
      <c r="R54" s="135"/>
      <c r="S54" s="136"/>
      <c r="T54" s="137"/>
    </row>
    <row r="55" spans="2:20" ht="27" customHeight="1" x14ac:dyDescent="0.2">
      <c r="B55" s="34">
        <v>7</v>
      </c>
      <c r="C55" s="220" t="s">
        <v>57</v>
      </c>
      <c r="D55" s="142" t="s">
        <v>130</v>
      </c>
      <c r="E55" s="143"/>
      <c r="F55" s="143"/>
      <c r="G55" s="143"/>
      <c r="H55" s="221"/>
      <c r="I55" s="35"/>
      <c r="J55" s="35" t="str">
        <f t="shared" si="3"/>
        <v>DEBILIDAD</v>
      </c>
      <c r="R55" s="135"/>
      <c r="S55" s="136"/>
      <c r="T55" s="137"/>
    </row>
    <row r="56" spans="2:20" ht="27" customHeight="1" thickBot="1" x14ac:dyDescent="0.25">
      <c r="B56" s="15">
        <v>8</v>
      </c>
      <c r="C56" s="222" t="s">
        <v>90</v>
      </c>
      <c r="D56" s="223" t="s">
        <v>94</v>
      </c>
      <c r="E56" s="223"/>
      <c r="F56" s="223"/>
      <c r="G56" s="223"/>
      <c r="H56" s="225"/>
      <c r="I56" s="37"/>
      <c r="J56" s="37" t="str">
        <f t="shared" si="3"/>
        <v>DEBILIDAD</v>
      </c>
      <c r="R56" s="138"/>
      <c r="S56" s="139"/>
      <c r="T56" s="140"/>
    </row>
    <row r="57" spans="2:20" ht="13.5" customHeight="1" thickBot="1" x14ac:dyDescent="0.3">
      <c r="B57" s="144" t="s">
        <v>47</v>
      </c>
      <c r="C57" s="145"/>
      <c r="D57" s="145"/>
      <c r="E57" s="145"/>
      <c r="F57" s="145"/>
      <c r="G57" s="145"/>
      <c r="H57" s="38">
        <f>IFERROR(AVERAGE(H49:H56),0)</f>
        <v>0</v>
      </c>
      <c r="I57" s="38">
        <f>IFERROR(AVERAGE(I49:I56),0)</f>
        <v>0</v>
      </c>
      <c r="J57" s="38" t="str">
        <f t="shared" si="3"/>
        <v>DEBILIDAD</v>
      </c>
    </row>
    <row r="58" spans="2:20" ht="6.75" customHeight="1" thickBot="1" x14ac:dyDescent="0.25"/>
    <row r="59" spans="2:20" ht="27" customHeight="1" thickBot="1" x14ac:dyDescent="0.25">
      <c r="B59" s="147" t="s">
        <v>150</v>
      </c>
      <c r="C59" s="148"/>
      <c r="D59" s="148"/>
      <c r="E59" s="148"/>
      <c r="F59" s="148"/>
      <c r="G59" s="148"/>
      <c r="H59" s="148"/>
      <c r="I59" s="149"/>
      <c r="J59" s="150"/>
      <c r="R59" s="160" t="s">
        <v>127</v>
      </c>
      <c r="S59" s="161"/>
      <c r="T59" s="161"/>
    </row>
    <row r="60" spans="2:20" ht="27" customHeight="1" x14ac:dyDescent="0.2">
      <c r="B60" s="30" t="s">
        <v>2</v>
      </c>
      <c r="C60" s="31" t="s">
        <v>44</v>
      </c>
      <c r="D60" s="146" t="s">
        <v>45</v>
      </c>
      <c r="E60" s="146"/>
      <c r="F60" s="146"/>
      <c r="G60" s="146"/>
      <c r="H60" s="32" t="s">
        <v>0</v>
      </c>
      <c r="I60" s="33" t="s">
        <v>145</v>
      </c>
      <c r="J60" s="31" t="s">
        <v>46</v>
      </c>
      <c r="R60" s="132"/>
      <c r="S60" s="133"/>
      <c r="T60" s="134"/>
    </row>
    <row r="61" spans="2:20" ht="27" customHeight="1" x14ac:dyDescent="0.2">
      <c r="B61" s="34">
        <v>1</v>
      </c>
      <c r="C61" s="220" t="s">
        <v>95</v>
      </c>
      <c r="D61" s="142" t="s">
        <v>103</v>
      </c>
      <c r="E61" s="143"/>
      <c r="F61" s="143"/>
      <c r="G61" s="143"/>
      <c r="H61" s="35"/>
      <c r="I61" s="35"/>
      <c r="J61" s="35" t="str">
        <f>IF(H61&lt;4,"DEBILIDAD","FORTALEZA")</f>
        <v>DEBILIDAD</v>
      </c>
      <c r="R61" s="135"/>
      <c r="S61" s="136"/>
      <c r="T61" s="137"/>
    </row>
    <row r="62" spans="2:20" ht="27" customHeight="1" x14ac:dyDescent="0.2">
      <c r="B62" s="14">
        <v>2</v>
      </c>
      <c r="C62" s="222" t="s">
        <v>96</v>
      </c>
      <c r="D62" s="223" t="s">
        <v>104</v>
      </c>
      <c r="E62" s="223"/>
      <c r="F62" s="223"/>
      <c r="G62" s="223"/>
      <c r="H62" s="36"/>
      <c r="I62" s="36"/>
      <c r="J62" s="36" t="str">
        <f t="shared" ref="J62:J69" si="4">IF(H62&lt;4,"DEBILIDAD","FORTALEZA")</f>
        <v>DEBILIDAD</v>
      </c>
      <c r="R62" s="135"/>
      <c r="S62" s="136"/>
      <c r="T62" s="137"/>
    </row>
    <row r="63" spans="2:20" ht="27" customHeight="1" x14ac:dyDescent="0.2">
      <c r="B63" s="34">
        <v>3</v>
      </c>
      <c r="C63" s="220" t="s">
        <v>97</v>
      </c>
      <c r="D63" s="142" t="s">
        <v>105</v>
      </c>
      <c r="E63" s="143"/>
      <c r="F63" s="143"/>
      <c r="G63" s="143"/>
      <c r="H63" s="35"/>
      <c r="I63" s="35"/>
      <c r="J63" s="35" t="str">
        <f t="shared" si="4"/>
        <v>DEBILIDAD</v>
      </c>
      <c r="R63" s="135"/>
      <c r="S63" s="136"/>
      <c r="T63" s="137"/>
    </row>
    <row r="64" spans="2:20" ht="27" customHeight="1" x14ac:dyDescent="0.2">
      <c r="B64" s="14">
        <v>4</v>
      </c>
      <c r="C64" s="222" t="s">
        <v>98</v>
      </c>
      <c r="D64" s="223" t="s">
        <v>106</v>
      </c>
      <c r="E64" s="223"/>
      <c r="F64" s="223"/>
      <c r="G64" s="223"/>
      <c r="H64" s="36"/>
      <c r="I64" s="36"/>
      <c r="J64" s="36" t="str">
        <f t="shared" si="4"/>
        <v>DEBILIDAD</v>
      </c>
      <c r="R64" s="135"/>
      <c r="S64" s="136"/>
      <c r="T64" s="137"/>
    </row>
    <row r="65" spans="2:20" ht="27" customHeight="1" x14ac:dyDescent="0.2">
      <c r="B65" s="34">
        <v>5</v>
      </c>
      <c r="C65" s="220" t="s">
        <v>99</v>
      </c>
      <c r="D65" s="142" t="s">
        <v>107</v>
      </c>
      <c r="E65" s="143"/>
      <c r="F65" s="143"/>
      <c r="G65" s="143"/>
      <c r="H65" s="35"/>
      <c r="I65" s="35"/>
      <c r="J65" s="35" t="str">
        <f t="shared" si="4"/>
        <v>DEBILIDAD</v>
      </c>
      <c r="R65" s="135"/>
      <c r="S65" s="136"/>
      <c r="T65" s="137"/>
    </row>
    <row r="66" spans="2:20" ht="27" customHeight="1" x14ac:dyDescent="0.2">
      <c r="B66" s="14">
        <v>6</v>
      </c>
      <c r="C66" s="222" t="s">
        <v>100</v>
      </c>
      <c r="D66" s="223" t="s">
        <v>108</v>
      </c>
      <c r="E66" s="223"/>
      <c r="F66" s="223"/>
      <c r="G66" s="223"/>
      <c r="H66" s="36"/>
      <c r="I66" s="36"/>
      <c r="J66" s="36" t="str">
        <f t="shared" si="4"/>
        <v>DEBILIDAD</v>
      </c>
      <c r="R66" s="135"/>
      <c r="S66" s="136"/>
      <c r="T66" s="137"/>
    </row>
    <row r="67" spans="2:20" ht="27" customHeight="1" x14ac:dyDescent="0.2">
      <c r="B67" s="34">
        <v>7</v>
      </c>
      <c r="C67" s="220" t="s">
        <v>101</v>
      </c>
      <c r="D67" s="142" t="s">
        <v>109</v>
      </c>
      <c r="E67" s="143"/>
      <c r="F67" s="143"/>
      <c r="G67" s="143"/>
      <c r="H67" s="35"/>
      <c r="I67" s="35"/>
      <c r="J67" s="35" t="str">
        <f t="shared" si="4"/>
        <v>DEBILIDAD</v>
      </c>
      <c r="R67" s="135"/>
      <c r="S67" s="136"/>
      <c r="T67" s="137"/>
    </row>
    <row r="68" spans="2:20" ht="27" customHeight="1" thickBot="1" x14ac:dyDescent="0.25">
      <c r="B68" s="14">
        <v>8</v>
      </c>
      <c r="C68" s="222" t="s">
        <v>102</v>
      </c>
      <c r="D68" s="223" t="s">
        <v>110</v>
      </c>
      <c r="E68" s="223"/>
      <c r="F68" s="223"/>
      <c r="G68" s="223"/>
      <c r="H68" s="37"/>
      <c r="I68" s="37"/>
      <c r="J68" s="37" t="str">
        <f t="shared" si="4"/>
        <v>DEBILIDAD</v>
      </c>
      <c r="R68" s="138"/>
      <c r="S68" s="139"/>
      <c r="T68" s="140"/>
    </row>
    <row r="69" spans="2:20" ht="15.75" customHeight="1" thickBot="1" x14ac:dyDescent="0.3">
      <c r="B69" s="144" t="s">
        <v>47</v>
      </c>
      <c r="C69" s="145"/>
      <c r="D69" s="145"/>
      <c r="E69" s="145"/>
      <c r="F69" s="145"/>
      <c r="G69" s="145"/>
      <c r="H69" s="38">
        <f>IFERROR(AVERAGE(H61:H68),0)</f>
        <v>0</v>
      </c>
      <c r="I69" s="38">
        <f>IFERROR(AVERAGE(I61:I68),0)</f>
        <v>0</v>
      </c>
      <c r="J69" s="38" t="str">
        <f t="shared" si="4"/>
        <v>DEBILIDAD</v>
      </c>
    </row>
    <row r="70" spans="2:20" ht="6" customHeight="1" x14ac:dyDescent="0.2"/>
  </sheetData>
  <sheetProtection selectLockedCells="1"/>
  <mergeCells count="68">
    <mergeCell ref="R47:T47"/>
    <mergeCell ref="R48:T56"/>
    <mergeCell ref="R59:T59"/>
    <mergeCell ref="R60:T68"/>
    <mergeCell ref="R14:T21"/>
    <mergeCell ref="R23:T23"/>
    <mergeCell ref="R24:T34"/>
    <mergeCell ref="R37:T37"/>
    <mergeCell ref="R38:T45"/>
    <mergeCell ref="D2:P2"/>
    <mergeCell ref="D31:G31"/>
    <mergeCell ref="D4:J4"/>
    <mergeCell ref="R13:T13"/>
    <mergeCell ref="D32:G32"/>
    <mergeCell ref="B35:G35"/>
    <mergeCell ref="N4:O4"/>
    <mergeCell ref="N5:O5"/>
    <mergeCell ref="H5:I5"/>
    <mergeCell ref="D42:G42"/>
    <mergeCell ref="D43:G43"/>
    <mergeCell ref="D44:G44"/>
    <mergeCell ref="D30:G30"/>
    <mergeCell ref="D27:G27"/>
    <mergeCell ref="D28:G28"/>
    <mergeCell ref="D29:G29"/>
    <mergeCell ref="D16:G16"/>
    <mergeCell ref="B13:J13"/>
    <mergeCell ref="D17:G17"/>
    <mergeCell ref="D18:G18"/>
    <mergeCell ref="D19:G19"/>
    <mergeCell ref="D20:G20"/>
    <mergeCell ref="B21:G21"/>
    <mergeCell ref="B23:J23"/>
    <mergeCell ref="D24:G24"/>
    <mergeCell ref="D25:G25"/>
    <mergeCell ref="D26:G26"/>
    <mergeCell ref="D14:G14"/>
    <mergeCell ref="D15:G15"/>
    <mergeCell ref="D48:G48"/>
    <mergeCell ref="D49:G49"/>
    <mergeCell ref="D50:G50"/>
    <mergeCell ref="D51:G51"/>
    <mergeCell ref="D52:G52"/>
    <mergeCell ref="D53:G53"/>
    <mergeCell ref="B45:G45"/>
    <mergeCell ref="B47:J47"/>
    <mergeCell ref="B37:J37"/>
    <mergeCell ref="D38:G38"/>
    <mergeCell ref="D39:G39"/>
    <mergeCell ref="D40:G40"/>
    <mergeCell ref="D41:G41"/>
    <mergeCell ref="D33:G33"/>
    <mergeCell ref="D34:G34"/>
    <mergeCell ref="D54:G54"/>
    <mergeCell ref="D55:G55"/>
    <mergeCell ref="D56:G56"/>
    <mergeCell ref="B57:G57"/>
    <mergeCell ref="B59:J59"/>
    <mergeCell ref="D60:G60"/>
    <mergeCell ref="D61:G61"/>
    <mergeCell ref="D62:G62"/>
    <mergeCell ref="D63:G63"/>
    <mergeCell ref="D64:G64"/>
    <mergeCell ref="D65:G65"/>
    <mergeCell ref="D66:G66"/>
    <mergeCell ref="D67:G67"/>
    <mergeCell ref="D68:G68"/>
    <mergeCell ref="B69:G69"/>
  </mergeCells>
  <conditionalFormatting sqref="J15:J21 J25:J35 J39:J45 J49:J56 J61:J69">
    <cfRule type="containsText" dxfId="1" priority="1" operator="containsText" text="debilidad">
      <formula>NOT(ISERROR(SEARCH("debilidad",J15)))</formula>
    </cfRule>
    <cfRule type="containsText" dxfId="0" priority="2" operator="containsText" text="fortaleza">
      <formula>NOT(ISERROR(SEARCH("fortaleza",J15)))</formula>
    </cfRule>
  </conditionalFormatting>
  <dataValidations count="1">
    <dataValidation type="list" allowBlank="1" showInputMessage="1" showErrorMessage="1" sqref="H61:I68 H49:I56 H39:I44 H25:I34 H15:I20">
      <formula1>$E$6:$E$10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1:N48"/>
  <sheetViews>
    <sheetView showGridLines="0" workbookViewId="0">
      <selection activeCell="G9" sqref="G9:H10"/>
    </sheetView>
  </sheetViews>
  <sheetFormatPr baseColWidth="10" defaultRowHeight="14.25" x14ac:dyDescent="0.2"/>
  <cols>
    <col min="1" max="1" width="3" style="18" customWidth="1"/>
    <col min="2" max="4" width="12.140625" style="18" customWidth="1"/>
    <col min="5" max="5" width="3.140625" style="18" customWidth="1"/>
    <col min="6" max="6" width="15" style="18" customWidth="1"/>
    <col min="7" max="7" width="11" style="18" customWidth="1"/>
    <col min="8" max="8" width="30.42578125" style="18" customWidth="1"/>
    <col min="9" max="9" width="19.7109375" style="18" customWidth="1"/>
    <col min="10" max="10" width="4" style="18" customWidth="1"/>
    <col min="11" max="11" width="16.85546875" style="18" customWidth="1"/>
    <col min="12" max="12" width="13.42578125" style="18" customWidth="1"/>
    <col min="13" max="13" width="12.7109375" style="18" customWidth="1"/>
    <col min="14" max="14" width="2.7109375" style="18" customWidth="1"/>
    <col min="15" max="15" width="5" style="18" customWidth="1"/>
    <col min="16" max="16384" width="11.42578125" style="18"/>
  </cols>
  <sheetData>
    <row r="1" spans="2:13" ht="8.25" customHeight="1" thickBot="1" x14ac:dyDescent="0.25">
      <c r="K1" s="61"/>
      <c r="L1" s="61"/>
      <c r="M1" s="61"/>
    </row>
    <row r="2" spans="2:13" ht="15" customHeight="1" x14ac:dyDescent="0.2">
      <c r="B2" s="204" t="s">
        <v>29</v>
      </c>
      <c r="C2" s="205"/>
      <c r="D2" s="206"/>
      <c r="F2" s="193" t="s">
        <v>32</v>
      </c>
      <c r="G2" s="194"/>
      <c r="H2" s="194"/>
      <c r="I2" s="194"/>
      <c r="J2" s="62"/>
      <c r="K2" s="132"/>
      <c r="L2" s="133"/>
      <c r="M2" s="134"/>
    </row>
    <row r="3" spans="2:13" ht="15.75" customHeight="1" thickBot="1" x14ac:dyDescent="0.25">
      <c r="B3" s="207"/>
      <c r="C3" s="208"/>
      <c r="D3" s="209"/>
      <c r="F3" s="195"/>
      <c r="G3" s="196"/>
      <c r="H3" s="196"/>
      <c r="I3" s="196"/>
      <c r="J3" s="62"/>
      <c r="K3" s="135"/>
      <c r="L3" s="136"/>
      <c r="M3" s="137"/>
    </row>
    <row r="4" spans="2:13" ht="7.5" customHeight="1" x14ac:dyDescent="0.2">
      <c r="B4" s="207"/>
      <c r="C4" s="208"/>
      <c r="D4" s="209"/>
      <c r="K4" s="135"/>
      <c r="L4" s="136"/>
      <c r="M4" s="137"/>
    </row>
    <row r="5" spans="2:13" ht="15" customHeight="1" x14ac:dyDescent="0.2">
      <c r="B5" s="207"/>
      <c r="C5" s="208"/>
      <c r="D5" s="209"/>
      <c r="G5" s="63"/>
      <c r="H5" s="63"/>
      <c r="I5" s="63"/>
      <c r="K5" s="135"/>
      <c r="L5" s="136"/>
      <c r="M5" s="137"/>
    </row>
    <row r="6" spans="2:13" ht="19.5" customHeight="1" x14ac:dyDescent="0.2">
      <c r="B6" s="207"/>
      <c r="C6" s="208"/>
      <c r="D6" s="209"/>
      <c r="F6" s="64" t="s">
        <v>34</v>
      </c>
      <c r="G6" s="200" t="s">
        <v>28</v>
      </c>
      <c r="H6" s="201"/>
      <c r="I6" s="64" t="s">
        <v>38</v>
      </c>
      <c r="K6" s="135"/>
      <c r="L6" s="136"/>
      <c r="M6" s="137"/>
    </row>
    <row r="7" spans="2:13" ht="15" customHeight="1" x14ac:dyDescent="0.25">
      <c r="B7" s="207"/>
      <c r="C7" s="208"/>
      <c r="D7" s="209"/>
      <c r="F7" s="77" t="s">
        <v>43</v>
      </c>
      <c r="G7" s="8" t="s">
        <v>39</v>
      </c>
      <c r="H7" s="8"/>
      <c r="I7" s="10" t="s">
        <v>35</v>
      </c>
      <c r="K7" s="135"/>
      <c r="L7" s="136"/>
      <c r="M7" s="137"/>
    </row>
    <row r="8" spans="2:13" ht="15" customHeight="1" x14ac:dyDescent="0.25">
      <c r="B8" s="207"/>
      <c r="C8" s="208"/>
      <c r="D8" s="209"/>
      <c r="F8" s="78" t="s">
        <v>41</v>
      </c>
      <c r="G8" s="9" t="s">
        <v>40</v>
      </c>
      <c r="H8" s="9"/>
      <c r="I8" s="11" t="s">
        <v>36</v>
      </c>
      <c r="K8" s="135"/>
      <c r="L8" s="136"/>
      <c r="M8" s="137"/>
    </row>
    <row r="9" spans="2:13" ht="15" customHeight="1" x14ac:dyDescent="0.2">
      <c r="B9" s="207"/>
      <c r="C9" s="208"/>
      <c r="D9" s="209"/>
      <c r="F9" s="199" t="s">
        <v>42</v>
      </c>
      <c r="G9" s="198" t="s">
        <v>141</v>
      </c>
      <c r="H9" s="198"/>
      <c r="I9" s="202" t="s">
        <v>37</v>
      </c>
      <c r="K9" s="135"/>
      <c r="L9" s="136"/>
      <c r="M9" s="137"/>
    </row>
    <row r="10" spans="2:13" ht="15" customHeight="1" x14ac:dyDescent="0.2">
      <c r="B10" s="207"/>
      <c r="C10" s="208"/>
      <c r="D10" s="209"/>
      <c r="F10" s="199"/>
      <c r="G10" s="198"/>
      <c r="H10" s="198"/>
      <c r="I10" s="203"/>
      <c r="K10" s="135"/>
      <c r="L10" s="136"/>
      <c r="M10" s="137"/>
    </row>
    <row r="11" spans="2:13" ht="14.25" customHeight="1" thickBot="1" x14ac:dyDescent="0.25">
      <c r="B11" s="210"/>
      <c r="C11" s="211"/>
      <c r="D11" s="212"/>
      <c r="K11" s="138"/>
      <c r="L11" s="139"/>
      <c r="M11" s="140"/>
    </row>
    <row r="12" spans="2:13" ht="10.5" customHeight="1" x14ac:dyDescent="0.2"/>
    <row r="13" spans="2:13" ht="25.5" customHeight="1" thickBot="1" x14ac:dyDescent="0.25">
      <c r="B13" s="197" t="s">
        <v>31</v>
      </c>
      <c r="C13" s="197"/>
      <c r="D13" s="197" t="s">
        <v>33</v>
      </c>
      <c r="E13" s="197"/>
      <c r="F13" s="197"/>
      <c r="G13" s="197"/>
      <c r="H13" s="197"/>
      <c r="I13" s="197"/>
      <c r="J13" s="197"/>
      <c r="K13" s="65" t="s">
        <v>34</v>
      </c>
      <c r="L13" s="197" t="s">
        <v>123</v>
      </c>
      <c r="M13" s="197"/>
    </row>
    <row r="14" spans="2:13" ht="17.25" customHeight="1" x14ac:dyDescent="0.2">
      <c r="B14" s="169" t="e">
        <f>DIAGNOSTICO!#REF!</f>
        <v>#REF!</v>
      </c>
      <c r="C14" s="170"/>
      <c r="D14" s="183"/>
      <c r="E14" s="183"/>
      <c r="F14" s="183"/>
      <c r="G14" s="183"/>
      <c r="H14" s="183"/>
      <c r="I14" s="183"/>
      <c r="J14" s="183"/>
      <c r="K14" s="66"/>
      <c r="L14" s="187"/>
      <c r="M14" s="188"/>
    </row>
    <row r="15" spans="2:13" ht="17.25" customHeight="1" x14ac:dyDescent="0.2">
      <c r="B15" s="171"/>
      <c r="C15" s="172"/>
      <c r="D15" s="184"/>
      <c r="E15" s="184"/>
      <c r="F15" s="184"/>
      <c r="G15" s="184"/>
      <c r="H15" s="184"/>
      <c r="I15" s="184"/>
      <c r="J15" s="184"/>
      <c r="K15" s="67"/>
      <c r="L15" s="189"/>
      <c r="M15" s="190"/>
    </row>
    <row r="16" spans="2:13" ht="17.25" customHeight="1" thickBot="1" x14ac:dyDescent="0.25">
      <c r="B16" s="173"/>
      <c r="C16" s="174"/>
      <c r="D16" s="185"/>
      <c r="E16" s="185"/>
      <c r="F16" s="185"/>
      <c r="G16" s="185"/>
      <c r="H16" s="185"/>
      <c r="I16" s="185"/>
      <c r="J16" s="185"/>
      <c r="K16" s="68"/>
      <c r="L16" s="191"/>
      <c r="M16" s="192"/>
    </row>
    <row r="17" spans="2:13" ht="17.25" customHeight="1" x14ac:dyDescent="0.2">
      <c r="B17" s="175" t="str">
        <f>DIAGNOSTICO!B13</f>
        <v>DIRECCIÓN</v>
      </c>
      <c r="C17" s="176"/>
      <c r="D17" s="186"/>
      <c r="E17" s="186"/>
      <c r="F17" s="186"/>
      <c r="G17" s="186"/>
      <c r="H17" s="186"/>
      <c r="I17" s="186"/>
      <c r="J17" s="186"/>
      <c r="K17" s="69"/>
      <c r="L17" s="186"/>
      <c r="M17" s="213"/>
    </row>
    <row r="18" spans="2:13" ht="17.25" customHeight="1" x14ac:dyDescent="0.2">
      <c r="B18" s="177"/>
      <c r="C18" s="178"/>
      <c r="D18" s="181"/>
      <c r="E18" s="181"/>
      <c r="F18" s="181"/>
      <c r="G18" s="181"/>
      <c r="H18" s="181"/>
      <c r="I18" s="181"/>
      <c r="J18" s="181"/>
      <c r="K18" s="70"/>
      <c r="L18" s="181"/>
      <c r="M18" s="214"/>
    </row>
    <row r="19" spans="2:13" ht="17.25" customHeight="1" thickBot="1" x14ac:dyDescent="0.25">
      <c r="B19" s="179"/>
      <c r="C19" s="180"/>
      <c r="D19" s="182"/>
      <c r="E19" s="182"/>
      <c r="F19" s="182"/>
      <c r="G19" s="182"/>
      <c r="H19" s="182"/>
      <c r="I19" s="182"/>
      <c r="J19" s="182"/>
      <c r="K19" s="71"/>
      <c r="L19" s="182"/>
      <c r="M19" s="215"/>
    </row>
    <row r="20" spans="2:13" ht="17.25" customHeight="1" x14ac:dyDescent="0.2">
      <c r="B20" s="169" t="str">
        <f>DIAGNOSTICO!B23</f>
        <v>MERCADEO Y VENTAS</v>
      </c>
      <c r="C20" s="170"/>
      <c r="D20" s="183"/>
      <c r="E20" s="183"/>
      <c r="F20" s="183"/>
      <c r="G20" s="183"/>
      <c r="H20" s="183"/>
      <c r="I20" s="183"/>
      <c r="J20" s="183"/>
      <c r="K20" s="66"/>
      <c r="L20" s="183"/>
      <c r="M20" s="216"/>
    </row>
    <row r="21" spans="2:13" ht="17.25" customHeight="1" x14ac:dyDescent="0.2">
      <c r="B21" s="171"/>
      <c r="C21" s="172"/>
      <c r="D21" s="184"/>
      <c r="E21" s="184"/>
      <c r="F21" s="184"/>
      <c r="G21" s="184"/>
      <c r="H21" s="184"/>
      <c r="I21" s="184"/>
      <c r="J21" s="184"/>
      <c r="K21" s="67"/>
      <c r="L21" s="184"/>
      <c r="M21" s="217"/>
    </row>
    <row r="22" spans="2:13" ht="17.25" customHeight="1" thickBot="1" x14ac:dyDescent="0.25">
      <c r="B22" s="173"/>
      <c r="C22" s="174"/>
      <c r="D22" s="185"/>
      <c r="E22" s="185"/>
      <c r="F22" s="185"/>
      <c r="G22" s="185"/>
      <c r="H22" s="185"/>
      <c r="I22" s="185"/>
      <c r="J22" s="185"/>
      <c r="K22" s="68"/>
      <c r="L22" s="185"/>
      <c r="M22" s="218"/>
    </row>
    <row r="23" spans="2:13" ht="17.25" customHeight="1" x14ac:dyDescent="0.2">
      <c r="B23" s="175" t="str">
        <f>DIAGNOSTICO!B37</f>
        <v>TALENTO HUMANO</v>
      </c>
      <c r="C23" s="176"/>
      <c r="D23" s="186"/>
      <c r="E23" s="186"/>
      <c r="F23" s="186"/>
      <c r="G23" s="186"/>
      <c r="H23" s="186"/>
      <c r="I23" s="186"/>
      <c r="J23" s="186"/>
      <c r="K23" s="69"/>
      <c r="L23" s="186"/>
      <c r="M23" s="213"/>
    </row>
    <row r="24" spans="2:13" ht="17.25" customHeight="1" x14ac:dyDescent="0.2">
      <c r="B24" s="177"/>
      <c r="C24" s="178"/>
      <c r="D24" s="181"/>
      <c r="E24" s="181"/>
      <c r="F24" s="181"/>
      <c r="G24" s="181"/>
      <c r="H24" s="181"/>
      <c r="I24" s="181"/>
      <c r="J24" s="181"/>
      <c r="K24" s="70"/>
      <c r="L24" s="181"/>
      <c r="M24" s="214"/>
    </row>
    <row r="25" spans="2:13" ht="17.25" customHeight="1" thickBot="1" x14ac:dyDescent="0.25">
      <c r="B25" s="179"/>
      <c r="C25" s="180"/>
      <c r="D25" s="182"/>
      <c r="E25" s="182"/>
      <c r="F25" s="182"/>
      <c r="G25" s="182"/>
      <c r="H25" s="182"/>
      <c r="I25" s="182"/>
      <c r="J25" s="182"/>
      <c r="K25" s="71"/>
      <c r="L25" s="182"/>
      <c r="M25" s="215"/>
    </row>
    <row r="26" spans="2:13" ht="17.25" customHeight="1" x14ac:dyDescent="0.2">
      <c r="B26" s="169" t="str">
        <f>DIAGNOSTICO!B47</f>
        <v>OPERACIÓN</v>
      </c>
      <c r="C26" s="170"/>
      <c r="D26" s="183"/>
      <c r="E26" s="183"/>
      <c r="F26" s="183"/>
      <c r="G26" s="183"/>
      <c r="H26" s="183"/>
      <c r="I26" s="183"/>
      <c r="J26" s="183"/>
      <c r="K26" s="66"/>
      <c r="L26" s="183"/>
      <c r="M26" s="216"/>
    </row>
    <row r="27" spans="2:13" ht="17.25" customHeight="1" x14ac:dyDescent="0.2">
      <c r="B27" s="171"/>
      <c r="C27" s="172"/>
      <c r="D27" s="184"/>
      <c r="E27" s="184"/>
      <c r="F27" s="184"/>
      <c r="G27" s="184"/>
      <c r="H27" s="184"/>
      <c r="I27" s="184"/>
      <c r="J27" s="184"/>
      <c r="K27" s="67"/>
      <c r="L27" s="184"/>
      <c r="M27" s="217"/>
    </row>
    <row r="28" spans="2:13" ht="17.25" customHeight="1" thickBot="1" x14ac:dyDescent="0.25">
      <c r="B28" s="173"/>
      <c r="C28" s="174"/>
      <c r="D28" s="185"/>
      <c r="E28" s="185"/>
      <c r="F28" s="185"/>
      <c r="G28" s="185"/>
      <c r="H28" s="185"/>
      <c r="I28" s="185"/>
      <c r="J28" s="185"/>
      <c r="K28" s="68"/>
      <c r="L28" s="185"/>
      <c r="M28" s="218"/>
    </row>
    <row r="29" spans="2:13" ht="17.25" customHeight="1" x14ac:dyDescent="0.2">
      <c r="B29" s="175" t="str">
        <f>DIAGNOSTICO!B59</f>
        <v>FINANZAS/ CONTABILIDAD</v>
      </c>
      <c r="C29" s="176"/>
      <c r="D29" s="219"/>
      <c r="E29" s="219"/>
      <c r="F29" s="219"/>
      <c r="G29" s="219"/>
      <c r="H29" s="219"/>
      <c r="I29" s="219"/>
      <c r="J29" s="219"/>
      <c r="K29" s="72"/>
      <c r="L29" s="219"/>
      <c r="M29" s="219"/>
    </row>
    <row r="30" spans="2:13" ht="17.25" customHeight="1" x14ac:dyDescent="0.2">
      <c r="B30" s="177"/>
      <c r="C30" s="178"/>
      <c r="D30" s="181"/>
      <c r="E30" s="181"/>
      <c r="F30" s="181"/>
      <c r="G30" s="181"/>
      <c r="H30" s="181"/>
      <c r="I30" s="181"/>
      <c r="J30" s="181"/>
      <c r="K30" s="70"/>
      <c r="L30" s="181"/>
      <c r="M30" s="181"/>
    </row>
    <row r="31" spans="2:13" ht="17.25" customHeight="1" thickBot="1" x14ac:dyDescent="0.25">
      <c r="B31" s="179"/>
      <c r="C31" s="180"/>
      <c r="D31" s="181"/>
      <c r="E31" s="181"/>
      <c r="F31" s="181"/>
      <c r="G31" s="181"/>
      <c r="H31" s="181"/>
      <c r="I31" s="181"/>
      <c r="J31" s="181"/>
      <c r="K31" s="70"/>
      <c r="L31" s="181"/>
      <c r="M31" s="181"/>
    </row>
    <row r="32" spans="2:13" ht="16.5" customHeight="1" x14ac:dyDescent="0.2">
      <c r="B32" s="169" t="e">
        <f>DIAGNOSTICO!#REF!</f>
        <v>#REF!</v>
      </c>
      <c r="C32" s="170"/>
      <c r="D32" s="183"/>
      <c r="E32" s="183"/>
      <c r="F32" s="183"/>
      <c r="G32" s="183"/>
      <c r="H32" s="183"/>
      <c r="I32" s="183"/>
      <c r="J32" s="183"/>
      <c r="K32" s="66"/>
      <c r="L32" s="183"/>
      <c r="M32" s="216"/>
    </row>
    <row r="33" spans="2:14" ht="16.5" customHeight="1" x14ac:dyDescent="0.2">
      <c r="B33" s="171"/>
      <c r="C33" s="172"/>
      <c r="D33" s="184"/>
      <c r="E33" s="184"/>
      <c r="F33" s="184"/>
      <c r="G33" s="184"/>
      <c r="H33" s="184"/>
      <c r="I33" s="184"/>
      <c r="J33" s="184"/>
      <c r="K33" s="67"/>
      <c r="L33" s="184"/>
      <c r="M33" s="217"/>
    </row>
    <row r="34" spans="2:14" ht="18" customHeight="1" thickBot="1" x14ac:dyDescent="0.25">
      <c r="B34" s="173"/>
      <c r="C34" s="174"/>
      <c r="D34" s="185"/>
      <c r="E34" s="185"/>
      <c r="F34" s="185"/>
      <c r="G34" s="185"/>
      <c r="H34" s="185"/>
      <c r="I34" s="185"/>
      <c r="J34" s="185"/>
      <c r="K34" s="68"/>
      <c r="L34" s="185"/>
      <c r="M34" s="218"/>
    </row>
    <row r="35" spans="2:14" ht="16.5" customHeight="1" x14ac:dyDescent="0.2">
      <c r="B35" s="175" t="e">
        <f>DIAGNOSTICO!#REF!</f>
        <v>#REF!</v>
      </c>
      <c r="C35" s="176"/>
      <c r="D35" s="186"/>
      <c r="E35" s="186"/>
      <c r="F35" s="186"/>
      <c r="G35" s="186"/>
      <c r="H35" s="186"/>
      <c r="I35" s="186"/>
      <c r="J35" s="186"/>
      <c r="K35" s="72"/>
      <c r="L35" s="219"/>
      <c r="M35" s="219"/>
    </row>
    <row r="36" spans="2:14" ht="16.5" customHeight="1" x14ac:dyDescent="0.2">
      <c r="B36" s="177"/>
      <c r="C36" s="178"/>
      <c r="D36" s="181"/>
      <c r="E36" s="181"/>
      <c r="F36" s="181"/>
      <c r="G36" s="181"/>
      <c r="H36" s="181"/>
      <c r="I36" s="181"/>
      <c r="J36" s="181"/>
      <c r="K36" s="70"/>
      <c r="L36" s="181"/>
      <c r="M36" s="181"/>
    </row>
    <row r="37" spans="2:14" ht="16.5" customHeight="1" thickBot="1" x14ac:dyDescent="0.25">
      <c r="B37" s="179"/>
      <c r="C37" s="180"/>
      <c r="D37" s="182"/>
      <c r="E37" s="182"/>
      <c r="F37" s="182"/>
      <c r="G37" s="182"/>
      <c r="H37" s="182"/>
      <c r="I37" s="182"/>
      <c r="J37" s="182"/>
      <c r="K37" s="70"/>
      <c r="L37" s="181"/>
      <c r="M37" s="181"/>
    </row>
    <row r="38" spans="2:14" ht="16.5" customHeight="1" x14ac:dyDescent="0.2">
      <c r="B38" s="169" t="e">
        <f>DIAGNOSTICO!#REF!</f>
        <v>#REF!</v>
      </c>
      <c r="C38" s="170"/>
      <c r="D38" s="183"/>
      <c r="E38" s="183"/>
      <c r="F38" s="183"/>
      <c r="G38" s="183"/>
      <c r="H38" s="183"/>
      <c r="I38" s="183"/>
      <c r="J38" s="183"/>
      <c r="K38" s="66"/>
      <c r="L38" s="183"/>
      <c r="M38" s="216"/>
    </row>
    <row r="39" spans="2:14" ht="16.5" customHeight="1" x14ac:dyDescent="0.2">
      <c r="B39" s="171"/>
      <c r="C39" s="172"/>
      <c r="D39" s="184"/>
      <c r="E39" s="184"/>
      <c r="F39" s="184"/>
      <c r="G39" s="184"/>
      <c r="H39" s="184"/>
      <c r="I39" s="184"/>
      <c r="J39" s="184"/>
      <c r="K39" s="67"/>
      <c r="L39" s="184"/>
      <c r="M39" s="217"/>
    </row>
    <row r="40" spans="2:14" ht="16.5" customHeight="1" thickBot="1" x14ac:dyDescent="0.25">
      <c r="B40" s="173"/>
      <c r="C40" s="174"/>
      <c r="D40" s="185"/>
      <c r="E40" s="185"/>
      <c r="F40" s="185"/>
      <c r="G40" s="185"/>
      <c r="H40" s="185"/>
      <c r="I40" s="185"/>
      <c r="J40" s="185"/>
      <c r="K40" s="68"/>
      <c r="L40" s="185"/>
      <c r="M40" s="218"/>
    </row>
    <row r="41" spans="2:14" ht="16.5" customHeight="1" x14ac:dyDescent="0.2"/>
    <row r="42" spans="2:14" ht="9.75" customHeight="1" x14ac:dyDescent="0.2"/>
    <row r="43" spans="2:14" x14ac:dyDescent="0.2">
      <c r="H43" s="73"/>
    </row>
    <row r="44" spans="2:14" x14ac:dyDescent="0.2">
      <c r="H44" s="73"/>
    </row>
    <row r="45" spans="2:14" x14ac:dyDescent="0.2">
      <c r="H45" s="73"/>
    </row>
    <row r="46" spans="2:14" x14ac:dyDescent="0.2">
      <c r="H46" s="73"/>
      <c r="N46" s="74"/>
    </row>
    <row r="47" spans="2:14" ht="15" x14ac:dyDescent="0.25">
      <c r="G47" s="75" t="s">
        <v>12</v>
      </c>
      <c r="H47" s="73"/>
    </row>
    <row r="48" spans="2:14" ht="15" x14ac:dyDescent="0.25">
      <c r="G48" s="75" t="s">
        <v>13</v>
      </c>
      <c r="H48" s="73"/>
      <c r="I48" s="76">
        <f>SUM(I13:I41)</f>
        <v>0</v>
      </c>
      <c r="J48" s="76"/>
      <c r="K48" s="76">
        <f>SUM(K13:K41)</f>
        <v>0</v>
      </c>
      <c r="L48" s="76">
        <f>SUM(L13:L41)</f>
        <v>0</v>
      </c>
      <c r="M48" s="76">
        <f>SUM(M13:M41)</f>
        <v>0</v>
      </c>
    </row>
  </sheetData>
  <sheetProtection selectLockedCells="1"/>
  <sortState ref="R2:S79">
    <sortCondition ref="S2:S79"/>
  </sortState>
  <mergeCells count="55">
    <mergeCell ref="B38:C40"/>
    <mergeCell ref="D38:J38"/>
    <mergeCell ref="D39:J39"/>
    <mergeCell ref="D40:J40"/>
    <mergeCell ref="L32:M34"/>
    <mergeCell ref="L35:M37"/>
    <mergeCell ref="L38:M40"/>
    <mergeCell ref="B32:C34"/>
    <mergeCell ref="D32:J32"/>
    <mergeCell ref="D33:J33"/>
    <mergeCell ref="D34:J34"/>
    <mergeCell ref="B35:C37"/>
    <mergeCell ref="D35:J35"/>
    <mergeCell ref="D36:J36"/>
    <mergeCell ref="D37:J37"/>
    <mergeCell ref="B29:C31"/>
    <mergeCell ref="L17:M19"/>
    <mergeCell ref="L20:M22"/>
    <mergeCell ref="L23:M25"/>
    <mergeCell ref="L26:M28"/>
    <mergeCell ref="L29:M31"/>
    <mergeCell ref="D27:J27"/>
    <mergeCell ref="D28:J28"/>
    <mergeCell ref="D29:J29"/>
    <mergeCell ref="D30:J30"/>
    <mergeCell ref="D31:J31"/>
    <mergeCell ref="B26:C28"/>
    <mergeCell ref="D26:J26"/>
    <mergeCell ref="K2:M11"/>
    <mergeCell ref="F2:I3"/>
    <mergeCell ref="D13:J13"/>
    <mergeCell ref="L13:M13"/>
    <mergeCell ref="G9:H10"/>
    <mergeCell ref="F9:F10"/>
    <mergeCell ref="G6:H6"/>
    <mergeCell ref="I9:I10"/>
    <mergeCell ref="B2:D11"/>
    <mergeCell ref="B13:C13"/>
    <mergeCell ref="L14:M16"/>
    <mergeCell ref="D14:J14"/>
    <mergeCell ref="D15:J15"/>
    <mergeCell ref="D16:J16"/>
    <mergeCell ref="D17:J17"/>
    <mergeCell ref="B14:C16"/>
    <mergeCell ref="B17:C19"/>
    <mergeCell ref="B20:C22"/>
    <mergeCell ref="B23:C25"/>
    <mergeCell ref="D18:J18"/>
    <mergeCell ref="D19:J19"/>
    <mergeCell ref="D20:J20"/>
    <mergeCell ref="D21:J21"/>
    <mergeCell ref="D22:J22"/>
    <mergeCell ref="D23:J23"/>
    <mergeCell ref="D24:J24"/>
    <mergeCell ref="D25:J25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MENÚ</vt:lpstr>
      <vt:lpstr>CONSOLIDADO</vt:lpstr>
      <vt:lpstr>DIAGNOSTICO</vt:lpstr>
      <vt:lpstr>OBSERVACIONES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Instructores Gestión de Mercados</dc:creator>
  <cp:lastModifiedBy>ozkr0124@hotmail.com</cp:lastModifiedBy>
  <dcterms:created xsi:type="dcterms:W3CDTF">2014-09-09T22:39:14Z</dcterms:created>
  <dcterms:modified xsi:type="dcterms:W3CDTF">2022-08-12T15:34:58Z</dcterms:modified>
</cp:coreProperties>
</file>